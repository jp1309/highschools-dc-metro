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aptura manual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rlito"/>
      <sz val="11"/>
    </font>
    <font>
      <name val="Carlito"/>
      <b val="1"/>
      <color rgb="FFFFFFFF"/>
      <sz val="16"/>
    </font>
    <font>
      <name val="Carlito"/>
      <b val="1"/>
      <color rgb="FF132A3A"/>
      <sz val="11"/>
    </font>
    <font>
      <name val="Carlito"/>
      <i val="1"/>
      <color rgb="FF5F4500"/>
      <sz val="11"/>
    </font>
    <font>
      <name val="Carlito"/>
      <color rgb="FF0563C1"/>
      <sz val="8"/>
    </font>
  </fonts>
  <fills count="6">
    <fill>
      <patternFill/>
    </fill>
    <fill>
      <patternFill patternType="gray125"/>
    </fill>
    <fill>
      <patternFill patternType="solid">
        <fgColor rgb="FF132A3A"/>
      </patternFill>
    </fill>
    <fill>
      <patternFill patternType="solid">
        <fgColor rgb="FFE8F0F4"/>
      </patternFill>
    </fill>
    <fill>
      <patternFill patternType="solid">
        <fgColor rgb="FFFFFFFF"/>
      </patternFill>
    </fill>
    <fill>
      <patternFill patternType="solid">
        <fgColor rgb="FFFFF4D6"/>
      </patternFill>
    </fill>
  </fills>
  <borders count="1">
    <border/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3" fillId="5" borderId="0" applyAlignment="1" pivotButton="0" quotePrefix="0" xfId="0">
      <alignment vertical="center" wrapText="1"/>
    </xf>
    <xf numFmtId="1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" fontId="0" fillId="0" borderId="0" applyAlignment="1" pivotButton="0" quotePrefix="0" xfId="0">
      <alignment vertical="center"/>
    </xf>
    <xf numFmtId="1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vertical="center"/>
    </xf>
  </cellXfs>
  <cellStyles count="1">
    <cellStyle name="Normal" xfId="0"/>
  </cellStyles>
  <dxfs count="5">
    <dxf>
      <font>
        <b val="1"/>
        <color rgb="FFFFFFFF"/>
      </font>
      <fill>
        <patternFill patternType="solid">
          <bgColor rgb="FF1A9850"/>
        </patternFill>
      </fill>
    </dxf>
    <dxf>
      <font>
        <b val="1"/>
        <color rgb="FF173615"/>
      </font>
      <fill>
        <patternFill patternType="solid">
          <bgColor rgb="FF91CF60"/>
        </patternFill>
      </fill>
    </dxf>
    <dxf>
      <font>
        <b val="1"/>
        <color rgb="FF3B3100"/>
      </font>
      <fill>
        <patternFill patternType="solid">
          <bgColor rgb="FFFEE08B"/>
        </patternFill>
      </fill>
    </dxf>
    <dxf>
      <font>
        <b val="1"/>
        <color rgb="FF3D170D"/>
      </font>
      <fill>
        <patternFill patternType="solid">
          <bgColor rgb="FFFC8D59"/>
        </patternFill>
      </fill>
    </dxf>
    <dxf>
      <font>
        <b val="1"/>
        <color rgb="FFFFFFFF"/>
      </font>
      <fill>
        <patternFill patternType="solid">
          <bgColor rgb="FFD7302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GreatSchoolsManualTable" displayName="GreatSchoolsManualTable" ref="A5:L89" headerRowCount="1" totalsRowCount="0" totalsRowShown="0">
  <autoFilter ref="A5:L89"/>
  <tableColumns count="12">
    <tableColumn id="1" name="N.º"/>
    <tableColumn id="2" name="school_id"/>
    <tableColumn id="3" name="Escuela"/>
    <tableColumn id="4" name="Jurisdicción"/>
    <tableColumn id="5" name="Estado"/>
    <tableColumn id="6" name="URL de búsqueda GreatSchools"/>
    <tableColumn id="7" name="URL directa de la ficha"/>
    <tableColumn id="8" name="Score (1-10)"/>
    <tableColumn id="9" name="Vigencia publicada"/>
    <tableColumn id="10" name="Fecha de consulta"/>
    <tableColumn id="11" name="Estado de verificación"/>
    <tableColumn id="12" name="No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31" customWidth="1" min="3" max="3"/>
    <col width="26" customWidth="1" min="4" max="4"/>
    <col width="8" customWidth="1" min="5" max="5"/>
    <col width="42" customWidth="1" min="6" max="6"/>
    <col width="42" customWidth="1" min="7" max="7"/>
    <col width="13" customWidth="1" min="8" max="8"/>
    <col width="18" customWidth="1" min="9" max="9"/>
    <col width="17" customWidth="1" min="10" max="10"/>
    <col width="22" customWidth="1" min="11" max="11"/>
    <col width="36" customWidth="1" min="12" max="12"/>
  </cols>
  <sheetData>
    <row r="1" ht="34" customHeight="1">
      <c r="A1" s="3" t="inlineStr">
        <is>
          <t>Base manual de ratings · 84 high schools del área de Washington, DC</t>
        </is>
      </c>
    </row>
    <row r="2">
      <c r="A2" s="6" t="inlineStr">
        <is>
          <t>Total</t>
        </is>
      </c>
      <c r="B2" s="8">
        <f>COUNTA(C6:C89)</f>
        <v/>
      </c>
      <c r="C2" s="6" t="inlineStr">
        <is>
          <t>Verificadas</t>
        </is>
      </c>
      <c r="D2" s="6">
        <f>COUNTIF(K6:K89,"Verificado")</f>
        <v/>
      </c>
      <c r="E2" s="6" t="inlineStr">
        <is>
          <t>Pendientes</t>
        </is>
      </c>
      <c r="F2" s="6">
        <f>COUNTIF(K6:K89,"Pendiente")</f>
        <v/>
      </c>
      <c r="G2" s="6" t="inlineStr">
        <is>
          <t>Sin score</t>
        </is>
      </c>
      <c r="H2" s="6">
        <f>COUNTIF(K6:K89,"Sin score")</f>
        <v/>
      </c>
    </row>
    <row r="3" ht="42" customHeight="1">
      <c r="A3" s="12" t="inlineStr">
        <is>
          <t>Abra el enlace de búsqueda, confirme que la ficha corresponde a la escuela y complete URL directa, score, vigencia, fecha, estado y notas. No use el score heredado del mapa como verificación.</t>
        </is>
      </c>
    </row>
    <row r="5" ht="30" customHeight="1">
      <c r="A5" s="15" t="inlineStr">
        <is>
          <t>N.º</t>
        </is>
      </c>
      <c r="B5" s="15" t="inlineStr">
        <is>
          <t>school_id</t>
        </is>
      </c>
      <c r="C5" s="15" t="inlineStr">
        <is>
          <t>Escuela</t>
        </is>
      </c>
      <c r="D5" s="15" t="inlineStr">
        <is>
          <t>Jurisdicción</t>
        </is>
      </c>
      <c r="E5" s="15" t="inlineStr">
        <is>
          <t>Estado</t>
        </is>
      </c>
      <c r="F5" s="15" t="inlineStr">
        <is>
          <t>URL de búsqueda GreatSchools</t>
        </is>
      </c>
      <c r="G5" s="15" t="inlineStr">
        <is>
          <t>URL directa de la ficha</t>
        </is>
      </c>
      <c r="H5" s="15" t="inlineStr">
        <is>
          <t>Score (1-10)</t>
        </is>
      </c>
      <c r="I5" s="15" t="inlineStr">
        <is>
          <t>Vigencia publicada</t>
        </is>
      </c>
      <c r="J5" s="15" t="inlineStr">
        <is>
          <t>Fecha de consulta</t>
        </is>
      </c>
      <c r="K5" s="15" t="inlineStr">
        <is>
          <t>Estado de verificación</t>
        </is>
      </c>
      <c r="L5" s="15" t="inlineStr">
        <is>
          <t>Notas</t>
        </is>
      </c>
    </row>
    <row r="6" ht="42" customHeight="1">
      <c r="A6" s="21" t="n">
        <v>1</v>
      </c>
      <c r="B6" s="15" t="inlineStr">
        <is>
          <t>arlington_va:yorktown_high_school</t>
        </is>
      </c>
      <c r="C6" s="15" t="inlineStr">
        <is>
          <t>Yorktown High School</t>
        </is>
      </c>
      <c r="D6" s="15" t="inlineStr">
        <is>
          <t>Arlington, VA</t>
        </is>
      </c>
      <c r="E6" s="15" t="inlineStr">
        <is>
          <t>VA</t>
        </is>
      </c>
      <c r="F6" s="19" t="inlineStr">
        <is>
          <t>https://www.greatschools.org/search/search.page?search_type=0&amp;q=Yorktown%20High%20School&amp;state=VA</t>
        </is>
      </c>
      <c r="G6" s="19" t="inlineStr">
        <is>
          <t>https://www.greatschools.org/virginia/arlington/135-Yorktown-High-School/</t>
        </is>
      </c>
      <c r="H6" s="22" t="n">
        <v>8</v>
      </c>
      <c r="I6" s="15" t="str"/>
      <c r="J6" s="23" t="n">
        <v>46264</v>
      </c>
      <c r="K6" s="15" t="inlineStr">
        <is>
          <t>Verificado</t>
        </is>
      </c>
      <c r="L6" s="20" t="inlineStr">
        <is>
          <t>Confirmado contra la captura manual previa (8). Score general leído de la ficha de GreatSchools (dato gs_rating, coincide con el texto "GreatSchools rating of N out of 10").</t>
        </is>
      </c>
    </row>
    <row r="7" ht="42" customHeight="1">
      <c r="A7" s="21" t="n">
        <v>2</v>
      </c>
      <c r="B7" s="15" t="inlineStr">
        <is>
          <t>arlington_va:washington_liberty_high_school</t>
        </is>
      </c>
      <c r="C7" s="15" t="inlineStr">
        <is>
          <t>Washington-Liberty High School</t>
        </is>
      </c>
      <c r="D7" s="15" t="inlineStr">
        <is>
          <t>Arlington, VA</t>
        </is>
      </c>
      <c r="E7" s="15" t="inlineStr">
        <is>
          <t>VA</t>
        </is>
      </c>
      <c r="F7" s="19" t="inlineStr">
        <is>
          <t>https://www.greatschools.org/search/search.page?search_type=0&amp;q=Washington-Liberty%20High%20School&amp;state=VA</t>
        </is>
      </c>
      <c r="G7" s="19" t="inlineStr">
        <is>
          <t>https://www.greatschools.org/virginia/arlington/133-Washington-Liberty-High-School/</t>
        </is>
      </c>
      <c r="H7" s="22" t="n">
        <v>7</v>
      </c>
      <c r="I7" s="15" t="str"/>
      <c r="J7" s="23" t="n">
        <v>46264</v>
      </c>
      <c r="K7" s="15" t="inlineStr">
        <is>
          <t>Verificado</t>
        </is>
      </c>
      <c r="L7" s="20" t="inlineStr">
        <is>
          <t>Score general leído de la ficha de GreatSchools (dato gs_rating, coincide con el texto "GreatSchools rating of N out of 10").</t>
        </is>
      </c>
    </row>
    <row r="8" ht="42" customHeight="1">
      <c r="A8" s="21" t="n">
        <v>3</v>
      </c>
      <c r="B8" s="15" t="inlineStr">
        <is>
          <t>arlington_va:wakefield_high_school</t>
        </is>
      </c>
      <c r="C8" s="15" t="inlineStr">
        <is>
          <t>Wakefield High School</t>
        </is>
      </c>
      <c r="D8" s="15" t="inlineStr">
        <is>
          <t>Arlington, VA</t>
        </is>
      </c>
      <c r="E8" s="15" t="inlineStr">
        <is>
          <t>VA</t>
        </is>
      </c>
      <c r="F8" s="19" t="inlineStr">
        <is>
          <t>https://www.greatschools.org/search/search.page?search_type=0&amp;q=Wakefield%20High%20School&amp;state=VA</t>
        </is>
      </c>
      <c r="G8" s="19" t="inlineStr">
        <is>
          <t>https://www.greatschools.org/virginia/arlington/132-Wakefield-High-School/</t>
        </is>
      </c>
      <c r="H8" s="22" t="n">
        <v>4</v>
      </c>
      <c r="I8" s="15" t="str"/>
      <c r="J8" s="23" t="n">
        <v>46264</v>
      </c>
      <c r="K8" s="15" t="inlineStr">
        <is>
          <t>Verificado</t>
        </is>
      </c>
      <c r="L8" s="20" t="inlineStr">
        <is>
          <t>Score general leído de la ficha de GreatSchools (dato gs_rating, coincide con el texto "GreatSchools rating of N out of 10").</t>
        </is>
      </c>
    </row>
    <row r="9" ht="42" customHeight="1">
      <c r="A9" s="21" t="n">
        <v>4</v>
      </c>
      <c r="B9" s="15" t="inlineStr">
        <is>
          <t>fairfax_county_va:langley_high_school</t>
        </is>
      </c>
      <c r="C9" s="15" t="inlineStr">
        <is>
          <t>Langley High School</t>
        </is>
      </c>
      <c r="D9" s="15" t="inlineStr">
        <is>
          <t>Fairfax County, VA</t>
        </is>
      </c>
      <c r="E9" s="15" t="inlineStr">
        <is>
          <t>VA</t>
        </is>
      </c>
      <c r="F9" s="19" t="inlineStr">
        <is>
          <t>https://www.greatschools.org/search/search.page?search_type=0&amp;q=Langley%20High%20School&amp;state=VA</t>
        </is>
      </c>
      <c r="G9" s="19" t="inlineStr">
        <is>
          <t>https://www.greatschools.org/virginia/mclean/529-Langley-High-School/</t>
        </is>
      </c>
      <c r="H9" s="22" t="n">
        <v>10</v>
      </c>
      <c r="I9" s="15" t="str"/>
      <c r="J9" s="23" t="n">
        <v>46264</v>
      </c>
      <c r="K9" s="15" t="inlineStr">
        <is>
          <t>Verificado</t>
        </is>
      </c>
      <c r="L9" s="20" t="inlineStr">
        <is>
          <t>Score general leído de la ficha de GreatSchools (dato gs_rating, coincide con el texto "GreatSchools rating of N out of 10").</t>
        </is>
      </c>
    </row>
    <row r="10" ht="42" customHeight="1">
      <c r="A10" s="21" t="n">
        <v>5</v>
      </c>
      <c r="B10" s="15" t="inlineStr">
        <is>
          <t>fairfax_county_va:mclean_high_school</t>
        </is>
      </c>
      <c r="C10" s="15" t="inlineStr">
        <is>
          <t>McLean High School</t>
        </is>
      </c>
      <c r="D10" s="15" t="inlineStr">
        <is>
          <t>Fairfax County, VA</t>
        </is>
      </c>
      <c r="E10" s="15" t="inlineStr">
        <is>
          <t>VA</t>
        </is>
      </c>
      <c r="F10" s="19" t="inlineStr">
        <is>
          <t>https://www.greatschools.org/search/search.page?search_type=0&amp;q=McLean%20High%20School&amp;state=VA</t>
        </is>
      </c>
      <c r="G10" s="19" t="inlineStr">
        <is>
          <t>https://www.greatschools.org/virginia/mclean/545-Mclean-High-School/</t>
        </is>
      </c>
      <c r="H10" s="22" t="n">
        <v>9</v>
      </c>
      <c r="I10" s="15" t="str"/>
      <c r="J10" s="23" t="n">
        <v>46264</v>
      </c>
      <c r="K10" s="15" t="inlineStr">
        <is>
          <t>Verificado</t>
        </is>
      </c>
      <c r="L10" s="20" t="inlineStr">
        <is>
          <t>Score general leído de la ficha de GreatSchools (dato gs_rating, coincide con el texto "GreatSchools rating of N out of 10").</t>
        </is>
      </c>
    </row>
    <row r="11" ht="42" customHeight="1">
      <c r="A11" s="21" t="n">
        <v>6</v>
      </c>
      <c r="B11" s="15" t="inlineStr">
        <is>
          <t>fairfax_county_va:woodson_high_school</t>
        </is>
      </c>
      <c r="C11" s="15" t="inlineStr">
        <is>
          <t>Woodson High School</t>
        </is>
      </c>
      <c r="D11" s="15" t="inlineStr">
        <is>
          <t>Fairfax County, VA</t>
        </is>
      </c>
      <c r="E11" s="15" t="inlineStr">
        <is>
          <t>VA</t>
        </is>
      </c>
      <c r="F11" s="19" t="inlineStr">
        <is>
          <t>https://www.greatschools.org/search/search.page?search_type=0&amp;q=Woodson%20High%20School&amp;state=VA</t>
        </is>
      </c>
      <c r="G11" s="19" t="inlineStr">
        <is>
          <t>https://www.greatschools.org/virginia/fairfax/597-Woodson-High-School/</t>
        </is>
      </c>
      <c r="H11" s="22" t="n">
        <v>9</v>
      </c>
      <c r="I11" s="15" t="str"/>
      <c r="J11" s="23" t="n">
        <v>46264</v>
      </c>
      <c r="K11" s="15" t="inlineStr">
        <is>
          <t>Verificado</t>
        </is>
      </c>
      <c r="L11" s="20" t="inlineStr">
        <is>
          <t>Score general leído de la ficha de GreatSchools (dato gs_rating, coincide con el texto "GreatSchools rating of N out of 10").</t>
        </is>
      </c>
    </row>
    <row r="12" ht="42" customHeight="1">
      <c r="A12" s="21" t="n">
        <v>7</v>
      </c>
      <c r="B12" s="15" t="inlineStr">
        <is>
          <t>fairfax_county_va:west_springfield_high_school</t>
        </is>
      </c>
      <c r="C12" s="15" t="inlineStr">
        <is>
          <t>West Springfield High School</t>
        </is>
      </c>
      <c r="D12" s="15" t="inlineStr">
        <is>
          <t>Fairfax County, VA</t>
        </is>
      </c>
      <c r="E12" s="15" t="inlineStr">
        <is>
          <t>VA</t>
        </is>
      </c>
      <c r="F12" s="19" t="inlineStr">
        <is>
          <t>https://www.greatschools.org/search/search.page?search_type=0&amp;q=West%20Springfield%20High%20School&amp;state=VA</t>
        </is>
      </c>
      <c r="G12" s="19" t="inlineStr">
        <is>
          <t>https://www.greatschools.org/virginia/springfield/586-West-Springfield-High-School/</t>
        </is>
      </c>
      <c r="H12" s="22" t="n">
        <v>10</v>
      </c>
      <c r="I12" s="15" t="str"/>
      <c r="J12" s="23" t="n">
        <v>46264</v>
      </c>
      <c r="K12" s="15" t="inlineStr">
        <is>
          <t>Verificado</t>
        </is>
      </c>
      <c r="L12" s="20" t="inlineStr">
        <is>
          <t>Score general leído de la ficha de GreatSchools (dato gs_rating, coincide con el texto "GreatSchools rating of N out of 10").</t>
        </is>
      </c>
    </row>
    <row r="13" ht="42" customHeight="1">
      <c r="A13" s="21" t="n">
        <v>8</v>
      </c>
      <c r="B13" s="15" t="inlineStr">
        <is>
          <t>fairfax_county_va:madison_high_school</t>
        </is>
      </c>
      <c r="C13" s="15" t="inlineStr">
        <is>
          <t>Madison High School</t>
        </is>
      </c>
      <c r="D13" s="15" t="inlineStr">
        <is>
          <t>Fairfax County, VA</t>
        </is>
      </c>
      <c r="E13" s="15" t="inlineStr">
        <is>
          <t>VA</t>
        </is>
      </c>
      <c r="F13" s="19" t="inlineStr">
        <is>
          <t>https://www.greatschools.org/search/search.page?search_type=0&amp;q=Madison%20High%20School&amp;state=VA</t>
        </is>
      </c>
      <c r="G13" s="19" t="inlineStr">
        <is>
          <t>https://www.greatschools.org/virginia/vienna/541-Madison-High-School/</t>
        </is>
      </c>
      <c r="H13" s="22" t="n">
        <v>9</v>
      </c>
      <c r="I13" s="15" t="str"/>
      <c r="J13" s="23" t="n">
        <v>46264</v>
      </c>
      <c r="K13" s="15" t="inlineStr">
        <is>
          <t>Verificado</t>
        </is>
      </c>
      <c r="L13" s="20" t="inlineStr">
        <is>
          <t>Score general leído de la ficha de GreatSchools (dato gs_rating, coincide con el texto "GreatSchools rating of N out of 10").</t>
        </is>
      </c>
    </row>
    <row r="14" ht="42" customHeight="1">
      <c r="A14" s="21" t="n">
        <v>9</v>
      </c>
      <c r="B14" s="15" t="inlineStr">
        <is>
          <t>fairfax_county_va:oakton_high_school</t>
        </is>
      </c>
      <c r="C14" s="15" t="inlineStr">
        <is>
          <t>Oakton High School</t>
        </is>
      </c>
      <c r="D14" s="15" t="inlineStr">
        <is>
          <t>Fairfax County, VA</t>
        </is>
      </c>
      <c r="E14" s="15" t="inlineStr">
        <is>
          <t>VA</t>
        </is>
      </c>
      <c r="F14" s="19" t="inlineStr">
        <is>
          <t>https://www.greatschools.org/search/search.page?search_type=0&amp;q=Oakton%20High%20School&amp;state=VA</t>
        </is>
      </c>
      <c r="G14" s="19" t="inlineStr">
        <is>
          <t>https://www.greatschools.org/virginia/vienna/555-Oakton-High-School/</t>
        </is>
      </c>
      <c r="H14" s="22" t="n">
        <v>9</v>
      </c>
      <c r="I14" s="15" t="str"/>
      <c r="J14" s="23" t="n">
        <v>46264</v>
      </c>
      <c r="K14" s="15" t="inlineStr">
        <is>
          <t>Verificado</t>
        </is>
      </c>
      <c r="L14" s="20" t="inlineStr">
        <is>
          <t>Score general leído de la ficha de GreatSchools (dato gs_rating, coincide con el texto "GreatSchools rating of N out of 10").</t>
        </is>
      </c>
    </row>
    <row r="15" ht="42" customHeight="1">
      <c r="A15" s="21" t="n">
        <v>10</v>
      </c>
      <c r="B15" s="15" t="inlineStr">
        <is>
          <t>fairfax_county_va:lake_braddock_secondary</t>
        </is>
      </c>
      <c r="C15" s="15" t="inlineStr">
        <is>
          <t>Lake Braddock Secondary</t>
        </is>
      </c>
      <c r="D15" s="15" t="inlineStr">
        <is>
          <t>Fairfax County, VA</t>
        </is>
      </c>
      <c r="E15" s="15" t="inlineStr">
        <is>
          <t>VA</t>
        </is>
      </c>
      <c r="F15" s="19" t="inlineStr">
        <is>
          <t>https://www.greatschools.org/search/search.page?search_type=0&amp;q=Lake%20Braddock%20Secondary&amp;state=VA</t>
        </is>
      </c>
      <c r="G15" s="19" t="inlineStr">
        <is>
          <t>https://www.greatschools.org/virginia/burke/528-Lake-Braddock-Secondary/</t>
        </is>
      </c>
      <c r="H15" s="22" t="n">
        <v>9</v>
      </c>
      <c r="I15" s="15" t="str"/>
      <c r="J15" s="23" t="n">
        <v>46264</v>
      </c>
      <c r="K15" s="15" t="inlineStr">
        <is>
          <t>Verificado</t>
        </is>
      </c>
      <c r="L15" s="20" t="inlineStr">
        <is>
          <t>Score general leído de la ficha de GreatSchools (dato gs_rating, coincide con el texto "GreatSchools rating of N out of 10").</t>
        </is>
      </c>
    </row>
    <row r="16" ht="42" customHeight="1">
      <c r="A16" s="21" t="n">
        <v>11</v>
      </c>
      <c r="B16" s="15" t="inlineStr">
        <is>
          <t>fairfax_county_va:chantilly_high_school</t>
        </is>
      </c>
      <c r="C16" s="15" t="inlineStr">
        <is>
          <t>Chantilly High School</t>
        </is>
      </c>
      <c r="D16" s="15" t="inlineStr">
        <is>
          <t>Fairfax County, VA</t>
        </is>
      </c>
      <c r="E16" s="15" t="inlineStr">
        <is>
          <t>VA</t>
        </is>
      </c>
      <c r="F16" s="19" t="inlineStr">
        <is>
          <t>https://www.greatschools.org/search/search.page?search_type=0&amp;q=Chantilly%20High%20School&amp;state=VA</t>
        </is>
      </c>
      <c r="G16" s="19" t="inlineStr">
        <is>
          <t>https://www.greatschools.org/virginia/chantilly/444-Chantilly-High-School/</t>
        </is>
      </c>
      <c r="H16" s="22" t="n">
        <v>9</v>
      </c>
      <c r="I16" s="15" t="str"/>
      <c r="J16" s="23" t="n">
        <v>46264</v>
      </c>
      <c r="K16" s="15" t="inlineStr">
        <is>
          <t>Verificado</t>
        </is>
      </c>
      <c r="L16" s="20" t="inlineStr">
        <is>
          <t>Score general leído de la ficha de GreatSchools (dato gs_rating, coincide con el texto "GreatSchools rating of N out of 10").</t>
        </is>
      </c>
    </row>
    <row r="17" ht="42" customHeight="1">
      <c r="A17" s="21" t="n">
        <v>12</v>
      </c>
      <c r="B17" s="15" t="inlineStr">
        <is>
          <t>fairfax_county_va:robinson_secondary</t>
        </is>
      </c>
      <c r="C17" s="15" t="inlineStr">
        <is>
          <t>Robinson Secondary</t>
        </is>
      </c>
      <c r="D17" s="15" t="inlineStr">
        <is>
          <t>Fairfax County, VA</t>
        </is>
      </c>
      <c r="E17" s="15" t="inlineStr">
        <is>
          <t>VA</t>
        </is>
      </c>
      <c r="F17" s="19" t="inlineStr">
        <is>
          <t>https://www.greatschools.org/search/search.page?search_type=0&amp;q=Robinson%20Secondary&amp;state=VA</t>
        </is>
      </c>
      <c r="G17" s="19" t="inlineStr">
        <is>
          <t>https://www.greatschools.org/virginia/fairfax/564-Robinson-Secondary/</t>
        </is>
      </c>
      <c r="H17" s="22" t="n">
        <v>8</v>
      </c>
      <c r="I17" s="15" t="str"/>
      <c r="J17" s="23" t="n">
        <v>46264</v>
      </c>
      <c r="K17" s="15" t="inlineStr">
        <is>
          <t>Verificado</t>
        </is>
      </c>
      <c r="L17" s="20" t="inlineStr">
        <is>
          <t>Score general leído de la ficha de GreatSchools (dato gs_rating, coincide con el texto "GreatSchools rating of N out of 10").</t>
        </is>
      </c>
    </row>
    <row r="18" ht="42" customHeight="1">
      <c r="A18" s="21" t="n">
        <v>13</v>
      </c>
      <c r="B18" s="15" t="inlineStr">
        <is>
          <t>fairfax_county_va:marshall_high_school</t>
        </is>
      </c>
      <c r="C18" s="15" t="inlineStr">
        <is>
          <t>Marshall High School</t>
        </is>
      </c>
      <c r="D18" s="15" t="inlineStr">
        <is>
          <t>Fairfax County, VA</t>
        </is>
      </c>
      <c r="E18" s="15" t="inlineStr">
        <is>
          <t>VA</t>
        </is>
      </c>
      <c r="F18" s="19" t="inlineStr">
        <is>
          <t>https://www.greatschools.org/search/search.page?search_type=0&amp;q=Marshall%20High%20School&amp;state=VA</t>
        </is>
      </c>
      <c r="G18" s="19" t="inlineStr">
        <is>
          <t>https://www.greatschools.org/virginia/falls-church/543-Marshall-High-School/</t>
        </is>
      </c>
      <c r="H18" s="22" t="n">
        <v>6</v>
      </c>
      <c r="I18" s="15" t="str"/>
      <c r="J18" s="23" t="n">
        <v>46264</v>
      </c>
      <c r="K18" s="15" t="inlineStr">
        <is>
          <t>Verificado</t>
        </is>
      </c>
      <c r="L18" s="20" t="inlineStr">
        <is>
          <t>Score general leído de la ficha de GreatSchools (dato gs_rating, coincide con el texto "GreatSchools rating of N out of 10").</t>
        </is>
      </c>
    </row>
    <row r="19" ht="42" customHeight="1">
      <c r="A19" s="21" t="n">
        <v>14</v>
      </c>
      <c r="B19" s="15" t="inlineStr">
        <is>
          <t>fairfax_county_va:south_county_high_school</t>
        </is>
      </c>
      <c r="C19" s="15" t="inlineStr">
        <is>
          <t>South County High School</t>
        </is>
      </c>
      <c r="D19" s="15" t="inlineStr">
        <is>
          <t>Fairfax County, VA</t>
        </is>
      </c>
      <c r="E19" s="15" t="inlineStr">
        <is>
          <t>VA</t>
        </is>
      </c>
      <c r="F19" s="19" t="inlineStr">
        <is>
          <t>https://www.greatschools.org/search/search.page?search_type=0&amp;q=South%20County%20High%20School&amp;state=VA</t>
        </is>
      </c>
      <c r="G19" s="19" t="inlineStr">
        <is>
          <t>https://www.greatschools.org/virginia/lorton/3228-South-County-High-School/</t>
        </is>
      </c>
      <c r="H19" s="22" t="n">
        <v>8</v>
      </c>
      <c r="I19" s="15" t="str"/>
      <c r="J19" s="23" t="n">
        <v>46264</v>
      </c>
      <c r="K19" s="15" t="inlineStr">
        <is>
          <t>Verificado</t>
        </is>
      </c>
      <c r="L19" s="20" t="inlineStr">
        <is>
          <t>Score general leído de la ficha de GreatSchools (dato gs_rating, coincide con el texto "GreatSchools rating of N out of 10").</t>
        </is>
      </c>
    </row>
    <row r="20" ht="42" customHeight="1">
      <c r="A20" s="21" t="n">
        <v>15</v>
      </c>
      <c r="B20" s="15" t="inlineStr">
        <is>
          <t>fairfax_county_va:fairfax_high_school</t>
        </is>
      </c>
      <c r="C20" s="15" t="inlineStr">
        <is>
          <t>Fairfax High School</t>
        </is>
      </c>
      <c r="D20" s="15" t="inlineStr">
        <is>
          <t>Fairfax County, VA</t>
        </is>
      </c>
      <c r="E20" s="15" t="inlineStr">
        <is>
          <t>VA</t>
        </is>
      </c>
      <c r="F20" s="19" t="inlineStr">
        <is>
          <t>https://www.greatschools.org/search/search.page?search_type=0&amp;q=Fairfax%20High%20School&amp;state=VA</t>
        </is>
      </c>
      <c r="G20" s="19" t="inlineStr">
        <is>
          <t>https://www.greatschools.org/virginia/fairfax/476-Fairfax-High-School/</t>
        </is>
      </c>
      <c r="H20" s="22" t="n">
        <v>6</v>
      </c>
      <c r="I20" s="15" t="str"/>
      <c r="J20" s="23" t="n">
        <v>46264</v>
      </c>
      <c r="K20" s="15" t="inlineStr">
        <is>
          <t>Verificado</t>
        </is>
      </c>
      <c r="L20" s="20" t="inlineStr">
        <is>
          <t>Score general leído de la ficha de GreatSchools (dato gs_rating, coincide con el texto "GreatSchools rating of N out of 10").</t>
        </is>
      </c>
    </row>
    <row r="21" ht="42" customHeight="1">
      <c r="A21" s="21" t="n">
        <v>16</v>
      </c>
      <c r="B21" s="15" t="inlineStr">
        <is>
          <t>fairfax_county_va:south_lakes_high_school</t>
        </is>
      </c>
      <c r="C21" s="15" t="inlineStr">
        <is>
          <t>South Lakes High School</t>
        </is>
      </c>
      <c r="D21" s="15" t="inlineStr">
        <is>
          <t>Fairfax County, VA</t>
        </is>
      </c>
      <c r="E21" s="15" t="inlineStr">
        <is>
          <t>VA</t>
        </is>
      </c>
      <c r="F21" s="19" t="inlineStr">
        <is>
          <t>https://www.greatschools.org/search/search.page?search_type=0&amp;q=South%20Lakes%20High%20School&amp;state=VA</t>
        </is>
      </c>
      <c r="G21" s="19" t="inlineStr">
        <is>
          <t>https://www.greatschools.org/virginia/reston/569-South-Lakes-High-School/</t>
        </is>
      </c>
      <c r="H21" s="22" t="n">
        <v>4</v>
      </c>
      <c r="I21" s="15" t="str"/>
      <c r="J21" s="23" t="n">
        <v>46264</v>
      </c>
      <c r="K21" s="15" t="inlineStr">
        <is>
          <t>Verificado</t>
        </is>
      </c>
      <c r="L21" s="20" t="inlineStr">
        <is>
          <t>Score general leído de la ficha de GreatSchools (dato gs_rating, coincide con el texto "GreatSchools rating of N out of 10").</t>
        </is>
      </c>
    </row>
    <row r="22" ht="42" customHeight="1">
      <c r="A22" s="21" t="n">
        <v>17</v>
      </c>
      <c r="B22" s="15" t="inlineStr">
        <is>
          <t>fairfax_county_va:westfield_high_school</t>
        </is>
      </c>
      <c r="C22" s="15" t="inlineStr">
        <is>
          <t>Westfield High School</t>
        </is>
      </c>
      <c r="D22" s="15" t="inlineStr">
        <is>
          <t>Fairfax County, VA</t>
        </is>
      </c>
      <c r="E22" s="15" t="inlineStr">
        <is>
          <t>VA</t>
        </is>
      </c>
      <c r="F22" s="19" t="inlineStr">
        <is>
          <t>https://www.greatschools.org/search/search.page?search_type=0&amp;q=Westfield%20High%20School&amp;state=VA</t>
        </is>
      </c>
      <c r="G22" s="19" t="inlineStr">
        <is>
          <t>https://www.greatschools.org/virginia/chantilly/2537-Westfield-High-School/</t>
        </is>
      </c>
      <c r="H22" s="22" t="n">
        <v>5</v>
      </c>
      <c r="I22" s="15" t="str"/>
      <c r="J22" s="23" t="n">
        <v>46264</v>
      </c>
      <c r="K22" s="15" t="inlineStr">
        <is>
          <t>Verificado</t>
        </is>
      </c>
      <c r="L22" s="20" t="inlineStr">
        <is>
          <t>Score general leído de la ficha de GreatSchools (dato gs_rating, coincide con el texto "GreatSchools rating of N out of 10").</t>
        </is>
      </c>
    </row>
    <row r="23" ht="42" customHeight="1">
      <c r="A23" s="21" t="n">
        <v>18</v>
      </c>
      <c r="B23" s="15" t="inlineStr">
        <is>
          <t>fairfax_county_va:hayfield_secondary</t>
        </is>
      </c>
      <c r="C23" s="15" t="inlineStr">
        <is>
          <t>Hayfield Secondary</t>
        </is>
      </c>
      <c r="D23" s="15" t="inlineStr">
        <is>
          <t>Fairfax County, VA</t>
        </is>
      </c>
      <c r="E23" s="15" t="inlineStr">
        <is>
          <t>VA</t>
        </is>
      </c>
      <c r="F23" s="19" t="inlineStr">
        <is>
          <t>https://www.greatschools.org/search/search.page?search_type=0&amp;q=Hayfield%20Secondary&amp;state=VA</t>
        </is>
      </c>
      <c r="G23" s="19" t="inlineStr">
        <is>
          <t>https://www.greatschools.org/virginia/alexandria/506-Hayfield-Secondary/</t>
        </is>
      </c>
      <c r="H23" s="22" t="n">
        <v>6</v>
      </c>
      <c r="I23" s="15" t="str"/>
      <c r="J23" s="23" t="n">
        <v>46264</v>
      </c>
      <c r="K23" s="15" t="inlineStr">
        <is>
          <t>Verificado</t>
        </is>
      </c>
      <c r="L23" s="20" t="inlineStr">
        <is>
          <t>Score general leído de la ficha de GreatSchools (dato gs_rating, coincide con el texto "GreatSchools rating of N out of 10").</t>
        </is>
      </c>
    </row>
    <row r="24" ht="42" customHeight="1">
      <c r="A24" s="21" t="n">
        <v>19</v>
      </c>
      <c r="B24" s="15" t="inlineStr">
        <is>
          <t>fairfax_county_va:west_potomac_high_school</t>
        </is>
      </c>
      <c r="C24" s="15" t="inlineStr">
        <is>
          <t>West Potomac High School</t>
        </is>
      </c>
      <c r="D24" s="15" t="inlineStr">
        <is>
          <t>Fairfax County, VA</t>
        </is>
      </c>
      <c r="E24" s="15" t="inlineStr">
        <is>
          <t>VA</t>
        </is>
      </c>
      <c r="F24" s="19" t="inlineStr">
        <is>
          <t>https://www.greatschools.org/search/search.page?search_type=0&amp;q=West%20Potomac%20High%20School&amp;state=VA</t>
        </is>
      </c>
      <c r="G24" s="19" t="inlineStr">
        <is>
          <t>https://www.greatschools.org/virginia/alexandria/502-West-Potomac-High-School/</t>
        </is>
      </c>
      <c r="H24" s="22" t="n">
        <v>4</v>
      </c>
      <c r="I24" s="15" t="str"/>
      <c r="J24" s="23" t="n">
        <v>46264</v>
      </c>
      <c r="K24" s="15" t="inlineStr">
        <is>
          <t>Verificado</t>
        </is>
      </c>
      <c r="L24" s="20" t="inlineStr">
        <is>
          <t>Score general leído de la ficha de GreatSchools (dato gs_rating, coincide con el texto "GreatSchools rating of N out of 10").</t>
        </is>
      </c>
    </row>
    <row r="25" ht="42" customHeight="1">
      <c r="A25" s="21" t="n">
        <v>20</v>
      </c>
      <c r="B25" s="15" t="inlineStr">
        <is>
          <t>fairfax_county_va:john_r_lewis_high_school</t>
        </is>
      </c>
      <c r="C25" s="15" t="inlineStr">
        <is>
          <t>John R. Lewis High School</t>
        </is>
      </c>
      <c r="D25" s="15" t="inlineStr">
        <is>
          <t>Fairfax County, VA</t>
        </is>
      </c>
      <c r="E25" s="15" t="inlineStr">
        <is>
          <t>VA</t>
        </is>
      </c>
      <c r="F25" s="19" t="inlineStr">
        <is>
          <t>https://www.greatschools.org/search/search.page?search_type=0&amp;q=John%20R.%20Lewis%20High%20School&amp;state=VA</t>
        </is>
      </c>
      <c r="G25" s="19" t="inlineStr">
        <is>
          <t>https://www.greatschools.org/virginia/springfield/533-John-R.-Lewis-High-School/</t>
        </is>
      </c>
      <c r="H25" s="22" t="n">
        <v>2</v>
      </c>
      <c r="I25" s="15" t="str"/>
      <c r="J25" s="23" t="n">
        <v>46264</v>
      </c>
      <c r="K25" s="15" t="inlineStr">
        <is>
          <t>Verificado</t>
        </is>
      </c>
      <c r="L25" s="20" t="inlineStr">
        <is>
          <t>Score general leído de la ficha de GreatSchools (dato gs_rating, coincide con el texto "GreatSchools rating of N out of 10").</t>
        </is>
      </c>
    </row>
    <row r="26" ht="42" customHeight="1">
      <c r="A26" s="21" t="n">
        <v>21</v>
      </c>
      <c r="B26" s="15" t="inlineStr">
        <is>
          <t>fairfax_county_va:edison_high_school</t>
        </is>
      </c>
      <c r="C26" s="15" t="inlineStr">
        <is>
          <t>Edison High School</t>
        </is>
      </c>
      <c r="D26" s="15" t="inlineStr">
        <is>
          <t>Fairfax County, VA</t>
        </is>
      </c>
      <c r="E26" s="15" t="inlineStr">
        <is>
          <t>VA</t>
        </is>
      </c>
      <c r="F26" s="19" t="inlineStr">
        <is>
          <t>https://www.greatschools.org/search/search.page?search_type=0&amp;q=Edison%20High%20School&amp;state=VA</t>
        </is>
      </c>
      <c r="G26" s="19" t="inlineStr">
        <is>
          <t>https://www.greatschools.org/virginia/alexandria/475-Edison-High-School/</t>
        </is>
      </c>
      <c r="H26" s="22" t="n">
        <v>4</v>
      </c>
      <c r="I26" s="15" t="str"/>
      <c r="J26" s="23" t="n">
        <v>46264</v>
      </c>
      <c r="K26" s="15" t="inlineStr">
        <is>
          <t>Verificado</t>
        </is>
      </c>
      <c r="L26" s="20" t="inlineStr">
        <is>
          <t>Score general leído de la ficha de GreatSchools (dato gs_rating, coincide con el texto "GreatSchools rating of N out of 10").</t>
        </is>
      </c>
    </row>
    <row r="27" ht="42" customHeight="1">
      <c r="A27" s="21" t="n">
        <v>22</v>
      </c>
      <c r="B27" s="15" t="inlineStr">
        <is>
          <t>fairfax_county_va:herndon_high_school</t>
        </is>
      </c>
      <c r="C27" s="15" t="inlineStr">
        <is>
          <t>Herndon High School</t>
        </is>
      </c>
      <c r="D27" s="15" t="inlineStr">
        <is>
          <t>Fairfax County, VA</t>
        </is>
      </c>
      <c r="E27" s="15" t="inlineStr">
        <is>
          <t>VA</t>
        </is>
      </c>
      <c r="F27" s="19" t="inlineStr">
        <is>
          <t>https://www.greatschools.org/search/search.page?search_type=0&amp;q=Herndon%20High%20School&amp;state=VA</t>
        </is>
      </c>
      <c r="G27" s="19" t="inlineStr">
        <is>
          <t>https://www.greatschools.org/virginia/herndon/508-Herndon-High-School/</t>
        </is>
      </c>
      <c r="H27" s="22" t="n">
        <v>2</v>
      </c>
      <c r="I27" s="15" t="str"/>
      <c r="J27" s="23" t="n">
        <v>46264</v>
      </c>
      <c r="K27" s="15" t="inlineStr">
        <is>
          <t>Verificado</t>
        </is>
      </c>
      <c r="L27" s="20" t="inlineStr">
        <is>
          <t>Score general leído de la ficha de GreatSchools (dato gs_rating, coincide con el texto "GreatSchools rating of N out of 10").</t>
        </is>
      </c>
    </row>
    <row r="28" ht="42" customHeight="1">
      <c r="A28" s="21" t="n">
        <v>23</v>
      </c>
      <c r="B28" s="15" t="inlineStr">
        <is>
          <t>fairfax_county_va:annandale_high_school</t>
        </is>
      </c>
      <c r="C28" s="15" t="inlineStr">
        <is>
          <t>Annandale High School</t>
        </is>
      </c>
      <c r="D28" s="15" t="inlineStr">
        <is>
          <t>Fairfax County, VA</t>
        </is>
      </c>
      <c r="E28" s="15" t="inlineStr">
        <is>
          <t>VA</t>
        </is>
      </c>
      <c r="F28" s="19" t="inlineStr">
        <is>
          <t>https://www.greatschools.org/search/search.page?search_type=0&amp;q=Annandale%20High%20School&amp;state=VA</t>
        </is>
      </c>
      <c r="G28" s="19" t="inlineStr">
        <is>
          <t>https://www.greatschools.org/virginia/annandale/451-Annandale-High-School/</t>
        </is>
      </c>
      <c r="H28" s="22" t="n">
        <v>3</v>
      </c>
      <c r="I28" s="15" t="str"/>
      <c r="J28" s="23" t="n">
        <v>46264</v>
      </c>
      <c r="K28" s="15" t="inlineStr">
        <is>
          <t>Verificado</t>
        </is>
      </c>
      <c r="L28" s="20" t="inlineStr">
        <is>
          <t>Score general leído de la ficha de GreatSchools (dato gs_rating, coincide con el texto "GreatSchools rating of N out of 10").</t>
        </is>
      </c>
    </row>
    <row r="29" ht="42" customHeight="1">
      <c r="A29" s="21" t="n">
        <v>24</v>
      </c>
      <c r="B29" s="15" t="inlineStr">
        <is>
          <t>fairfax_county_va:mount_vernon_high_school</t>
        </is>
      </c>
      <c r="C29" s="15" t="inlineStr">
        <is>
          <t>Mount Vernon High School</t>
        </is>
      </c>
      <c r="D29" s="15" t="inlineStr">
        <is>
          <t>Fairfax County, VA</t>
        </is>
      </c>
      <c r="E29" s="15" t="inlineStr">
        <is>
          <t>VA</t>
        </is>
      </c>
      <c r="F29" s="19" t="inlineStr">
        <is>
          <t>https://www.greatschools.org/search/search.page?search_type=0&amp;q=Mount%20Vernon%20High%20School&amp;state=VA</t>
        </is>
      </c>
      <c r="G29" s="19" t="inlineStr">
        <is>
          <t>https://www.greatschools.org/virginia/alexandria/548-Mount-Vernon-High-School/</t>
        </is>
      </c>
      <c r="H29" s="22" t="n">
        <v>2</v>
      </c>
      <c r="I29" s="15" t="str"/>
      <c r="J29" s="23" t="n">
        <v>46264</v>
      </c>
      <c r="K29" s="15" t="inlineStr">
        <is>
          <t>Verificado</t>
        </is>
      </c>
      <c r="L29" s="20" t="inlineStr">
        <is>
          <t>Score general leído de la ficha de GreatSchools (dato gs_rating, coincide con el texto "GreatSchools rating of N out of 10").</t>
        </is>
      </c>
    </row>
    <row r="30" ht="42" customHeight="1">
      <c r="A30" s="21" t="n">
        <v>25</v>
      </c>
      <c r="B30" s="15" t="inlineStr">
        <is>
          <t>fairfax_county_va:falls_church_high_school</t>
        </is>
      </c>
      <c r="C30" s="15" t="inlineStr">
        <is>
          <t>Falls Church High School</t>
        </is>
      </c>
      <c r="D30" s="15" t="inlineStr">
        <is>
          <t>Fairfax County, VA</t>
        </is>
      </c>
      <c r="E30" s="15" t="inlineStr">
        <is>
          <t>VA</t>
        </is>
      </c>
      <c r="F30" s="19" t="inlineStr">
        <is>
          <t>https://www.greatschools.org/search/search.page?search_type=0&amp;q=Falls%20Church%20High%20School&amp;state=VA</t>
        </is>
      </c>
      <c r="G30" s="19" t="inlineStr">
        <is>
          <t>https://www.greatschools.org/virginia/falls-church/481-Falls-Church-High-School/</t>
        </is>
      </c>
      <c r="H30" s="22" t="n">
        <v>4</v>
      </c>
      <c r="I30" s="15" t="str"/>
      <c r="J30" s="23" t="n">
        <v>46264</v>
      </c>
      <c r="K30" s="15" t="inlineStr">
        <is>
          <t>Verificado</t>
        </is>
      </c>
      <c r="L30" s="20" t="inlineStr">
        <is>
          <t>Score general leído de la ficha de GreatSchools (dato gs_rating, coincide con el texto "GreatSchools rating of N out of 10").</t>
        </is>
      </c>
    </row>
    <row r="31" ht="42" customHeight="1">
      <c r="A31" s="21" t="n">
        <v>26</v>
      </c>
      <c r="B31" s="15" t="inlineStr">
        <is>
          <t>fairfax_county_va:justice_high_school</t>
        </is>
      </c>
      <c r="C31" s="15" t="inlineStr">
        <is>
          <t>Justice High School</t>
        </is>
      </c>
      <c r="D31" s="15" t="inlineStr">
        <is>
          <t>Fairfax County, VA</t>
        </is>
      </c>
      <c r="E31" s="15" t="inlineStr">
        <is>
          <t>VA</t>
        </is>
      </c>
      <c r="F31" s="19" t="inlineStr">
        <is>
          <t>https://www.greatschools.org/search/search.page?search_type=0&amp;q=Justice%20High%20School&amp;state=VA</t>
        </is>
      </c>
      <c r="G31" s="19" t="inlineStr">
        <is>
          <t>https://www.greatschools.org/virginia/falls-church/518-Justice-High-School/</t>
        </is>
      </c>
      <c r="H31" s="22" t="n">
        <v>2</v>
      </c>
      <c r="I31" s="15" t="str"/>
      <c r="J31" s="23" t="n">
        <v>46264</v>
      </c>
      <c r="K31" s="15" t="inlineStr">
        <is>
          <t>Verificado</t>
        </is>
      </c>
      <c r="L31" s="20" t="inlineStr">
        <is>
          <t>Score general leído de la ficha de GreatSchools (dato gs_rating, coincide con el texto "GreatSchools rating of N out of 10").</t>
        </is>
      </c>
    </row>
    <row r="32" ht="42" customHeight="1">
      <c r="A32" s="21" t="n">
        <v>27</v>
      </c>
      <c r="B32" s="15" t="inlineStr">
        <is>
          <t>falls_church_city_va:meridian_high_school</t>
        </is>
      </c>
      <c r="C32" s="15" t="inlineStr">
        <is>
          <t>Meridian High School</t>
        </is>
      </c>
      <c r="D32" s="15" t="inlineStr">
        <is>
          <t>Falls Church City, VA</t>
        </is>
      </c>
      <c r="E32" s="15" t="inlineStr">
        <is>
          <t>VA</t>
        </is>
      </c>
      <c r="F32" s="19" t="inlineStr">
        <is>
          <t>https://www.greatschools.org/search/search.page?search_type=0&amp;q=Meridian%20High%20School&amp;state=VA</t>
        </is>
      </c>
      <c r="G32" s="19" t="inlineStr">
        <is>
          <t>https://www.greatschools.org/virginia/falls-church/650-George-Mason-High-School/</t>
        </is>
      </c>
      <c r="H32" s="22" t="n">
        <v>8</v>
      </c>
      <c r="I32" s="15" t="str"/>
      <c r="J32" s="23" t="n">
        <v>46264</v>
      </c>
      <c r="K32" s="15" t="inlineStr">
        <is>
          <t>Verificado</t>
        </is>
      </c>
      <c r="L32" s="20" t="inlineStr">
        <is>
          <t>Ficha publicada bajo la URL histórica George Mason HS. Score general leído de la ficha de GreatSchools (dato gs_rating, coincide con el texto "GreatSchools rating of N out of 10").</t>
        </is>
      </c>
    </row>
    <row r="33" ht="42" customHeight="1">
      <c r="A33" s="21" t="n">
        <v>28</v>
      </c>
      <c r="B33" s="15" t="inlineStr">
        <is>
          <t>alexandria_city_va:alexandria_city_high_school</t>
        </is>
      </c>
      <c r="C33" s="15" t="inlineStr">
        <is>
          <t>Alexandria City High School</t>
        </is>
      </c>
      <c r="D33" s="15" t="inlineStr">
        <is>
          <t>Alexandria City, VA</t>
        </is>
      </c>
      <c r="E33" s="15" t="inlineStr">
        <is>
          <t>VA</t>
        </is>
      </c>
      <c r="F33" s="19" t="inlineStr">
        <is>
          <t>https://www.greatschools.org/search/search.page?search_type=0&amp;q=Alexandria%20City%20High%20School&amp;state=VA</t>
        </is>
      </c>
      <c r="G33" s="19" t="inlineStr">
        <is>
          <t>https://www.greatschools.org/virginia/alexandria/80-T.C.-Williams-High-School/</t>
        </is>
      </c>
      <c r="H33" s="22" t="n">
        <v>2</v>
      </c>
      <c r="I33" s="15" t="str"/>
      <c r="J33" s="23" t="n">
        <v>46264</v>
      </c>
      <c r="K33" s="15" t="inlineStr">
        <is>
          <t>Verificado</t>
        </is>
      </c>
      <c r="L33" s="20" t="inlineStr">
        <is>
          <t>Ficha publicada bajo la URL histórica T.C. Williams HS. Score general leído de la ficha de GreatSchools (dato gs_rating, coincide con el texto "GreatSchools rating of N out of 10").</t>
        </is>
      </c>
    </row>
    <row r="34" ht="42" customHeight="1">
      <c r="A34" s="21" t="n">
        <v>29</v>
      </c>
      <c r="B34" s="15" t="inlineStr">
        <is>
          <t>montgomery_county_md:thomas_s_wootton_high_school</t>
        </is>
      </c>
      <c r="C34" s="15" t="inlineStr">
        <is>
          <t>Thomas S. Wootton High School</t>
        </is>
      </c>
      <c r="D34" s="15" t="inlineStr">
        <is>
          <t>Montgomery County, MD</t>
        </is>
      </c>
      <c r="E34" s="15" t="inlineStr">
        <is>
          <t>MD</t>
        </is>
      </c>
      <c r="F34" s="19" t="inlineStr">
        <is>
          <t>https://www.greatschools.org/search/search.page?search_type=0&amp;q=Thomas%20S.%20Wootton%20High%20School&amp;state=MD</t>
        </is>
      </c>
      <c r="G34" s="19" t="inlineStr">
        <is>
          <t>https://www.greatschools.org/maryland/rockville/966-Thomas-S.-Wootton-High-School/</t>
        </is>
      </c>
      <c r="H34" s="22" t="n">
        <v>10</v>
      </c>
      <c r="I34" s="15" t="str"/>
      <c r="J34" s="23" t="n">
        <v>46264</v>
      </c>
      <c r="K34" s="15" t="inlineStr">
        <is>
          <t>Verificado</t>
        </is>
      </c>
      <c r="L34" s="20" t="inlineStr">
        <is>
          <t>Score general leído de la ficha de GreatSchools (dato gs_rating, coincide con el texto "GreatSchools rating of N out of 10").</t>
        </is>
      </c>
    </row>
    <row r="35" ht="42" customHeight="1">
      <c r="A35" s="21" t="n">
        <v>30</v>
      </c>
      <c r="B35" s="15" t="inlineStr">
        <is>
          <t>montgomery_county_md:walt_whitman_high_school</t>
        </is>
      </c>
      <c r="C35" s="15" t="inlineStr">
        <is>
          <t>Walt Whitman High School</t>
        </is>
      </c>
      <c r="D35" s="15" t="inlineStr">
        <is>
          <t>Montgomery County, MD</t>
        </is>
      </c>
      <c r="E35" s="15" t="inlineStr">
        <is>
          <t>MD</t>
        </is>
      </c>
      <c r="F35" s="19" t="inlineStr">
        <is>
          <t>https://www.greatschools.org/search/search.page?search_type=0&amp;q=Walt%20Whitman%20High%20School&amp;state=MD</t>
        </is>
      </c>
      <c r="G35" s="19" t="inlineStr">
        <is>
          <t>https://www.greatschools.org/maryland/bethesda/970-Walt-Whitman-High-School/</t>
        </is>
      </c>
      <c r="H35" s="22" t="n">
        <v>9</v>
      </c>
      <c r="I35" s="15" t="str"/>
      <c r="J35" s="23" t="n">
        <v>46264</v>
      </c>
      <c r="K35" s="15" t="inlineStr">
        <is>
          <t>Verificado</t>
        </is>
      </c>
      <c r="L35" s="20" t="inlineStr">
        <is>
          <t>Score general leído de la ficha de GreatSchools (dato gs_rating, coincide con el texto "GreatSchools rating of N out of 10").</t>
        </is>
      </c>
    </row>
    <row r="36" ht="42" customHeight="1">
      <c r="A36" s="21" t="n">
        <v>31</v>
      </c>
      <c r="B36" s="15" t="inlineStr">
        <is>
          <t>montgomery_county_md:winston_churchill_high_school</t>
        </is>
      </c>
      <c r="C36" s="15" t="inlineStr">
        <is>
          <t>Winston Churchill High School</t>
        </is>
      </c>
      <c r="D36" s="15" t="inlineStr">
        <is>
          <t>Montgomery County, MD</t>
        </is>
      </c>
      <c r="E36" s="15" t="inlineStr">
        <is>
          <t>MD</t>
        </is>
      </c>
      <c r="F36" s="19" t="inlineStr">
        <is>
          <t>https://www.greatschools.org/search/search.page?search_type=0&amp;q=Winston%20Churchill%20High%20School&amp;state=MD</t>
        </is>
      </c>
      <c r="G36" s="19" t="inlineStr">
        <is>
          <t>https://www.greatschools.org/maryland/potomac/985-Winston-Churchill-High-School/</t>
        </is>
      </c>
      <c r="H36" s="22" t="n">
        <v>10</v>
      </c>
      <c r="I36" s="15" t="str"/>
      <c r="J36" s="23" t="n">
        <v>46264</v>
      </c>
      <c r="K36" s="15" t="inlineStr">
        <is>
          <t>Verificado</t>
        </is>
      </c>
      <c r="L36" s="20" t="inlineStr">
        <is>
          <t>Score general leído de la ficha de GreatSchools (dato gs_rating, coincide con el texto "GreatSchools rating of N out of 10").</t>
        </is>
      </c>
    </row>
    <row r="37" ht="42" customHeight="1">
      <c r="A37" s="21" t="n">
        <v>32</v>
      </c>
      <c r="B37" s="15" t="inlineStr">
        <is>
          <t>montgomery_county_md:walter_johnson_high_school</t>
        </is>
      </c>
      <c r="C37" s="15" t="inlineStr">
        <is>
          <t>Walter Johnson High School</t>
        </is>
      </c>
      <c r="D37" s="15" t="inlineStr">
        <is>
          <t>Montgomery County, MD</t>
        </is>
      </c>
      <c r="E37" s="15" t="inlineStr">
        <is>
          <t>MD</t>
        </is>
      </c>
      <c r="F37" s="19" t="inlineStr">
        <is>
          <t>https://www.greatschools.org/search/search.page?search_type=0&amp;q=Walter%20Johnson%20High%20School&amp;state=MD</t>
        </is>
      </c>
      <c r="G37" s="19" t="inlineStr">
        <is>
          <t>https://www.greatschools.org/maryland/bethesda/971-Walter-Johnson-High-School/</t>
        </is>
      </c>
      <c r="H37" s="22" t="n">
        <v>8</v>
      </c>
      <c r="I37" s="15" t="str"/>
      <c r="J37" s="23" t="n">
        <v>46264</v>
      </c>
      <c r="K37" s="15" t="inlineStr">
        <is>
          <t>Verificado</t>
        </is>
      </c>
      <c r="L37" s="20" t="inlineStr">
        <is>
          <t>Score general leído de la ficha de GreatSchools (dato gs_rating, coincide con el texto "GreatSchools rating of N out of 10").</t>
        </is>
      </c>
    </row>
    <row r="38" ht="42" customHeight="1">
      <c r="A38" s="21" t="n">
        <v>33</v>
      </c>
      <c r="B38" s="15" t="inlineStr">
        <is>
          <t>montgomery_county_md:richard_montgomery_high_school</t>
        </is>
      </c>
      <c r="C38" s="15" t="inlineStr">
        <is>
          <t>Richard Montgomery High School</t>
        </is>
      </c>
      <c r="D38" s="15" t="inlineStr">
        <is>
          <t>Montgomery County, MD</t>
        </is>
      </c>
      <c r="E38" s="15" t="inlineStr">
        <is>
          <t>MD</t>
        </is>
      </c>
      <c r="F38" s="19" t="inlineStr">
        <is>
          <t>https://www.greatschools.org/search/search.page?search_type=0&amp;q=Richard%20Montgomery%20High%20School&amp;state=MD</t>
        </is>
      </c>
      <c r="G38" s="19" t="inlineStr">
        <is>
          <t>https://www.greatschools.org/maryland/rockville/943-Richard-Montgomery-High-School/</t>
        </is>
      </c>
      <c r="H38" s="22" t="n">
        <v>8</v>
      </c>
      <c r="I38" s="15" t="str"/>
      <c r="J38" s="23" t="n">
        <v>46264</v>
      </c>
      <c r="K38" s="15" t="inlineStr">
        <is>
          <t>Verificado</t>
        </is>
      </c>
      <c r="L38" s="20" t="inlineStr">
        <is>
          <t>Score general leído de la ficha de GreatSchools (dato gs_rating, coincide con el texto "GreatSchools rating of N out of 10").</t>
        </is>
      </c>
    </row>
    <row r="39" ht="42" customHeight="1">
      <c r="A39" s="21" t="n">
        <v>34</v>
      </c>
      <c r="B39" s="15" t="inlineStr">
        <is>
          <t>montgomery_county_md:bethesda_chevy_chase_high_school</t>
        </is>
      </c>
      <c r="C39" s="15" t="inlineStr">
        <is>
          <t>Bethesda-Chevy Chase High School</t>
        </is>
      </c>
      <c r="D39" s="15" t="inlineStr">
        <is>
          <t>Montgomery County, MD</t>
        </is>
      </c>
      <c r="E39" s="15" t="inlineStr">
        <is>
          <t>MD</t>
        </is>
      </c>
      <c r="F39" s="19" t="inlineStr">
        <is>
          <t>https://www.greatschools.org/search/search.page?search_type=0&amp;q=Bethesda-Chevy%20Chase%20High%20School&amp;state=MD</t>
        </is>
      </c>
      <c r="G39" s="19" t="inlineStr">
        <is>
          <t>https://www.greatschools.org/maryland/bethesda/861-Bethesda-Chevy-Chase-High-School/</t>
        </is>
      </c>
      <c r="H39" s="22" t="n">
        <v>8</v>
      </c>
      <c r="I39" s="15" t="str"/>
      <c r="J39" s="23" t="n">
        <v>46264</v>
      </c>
      <c r="K39" s="15" t="inlineStr">
        <is>
          <t>Verificado</t>
        </is>
      </c>
      <c r="L39" s="20" t="inlineStr">
        <is>
          <t>Score general leído de la ficha de GreatSchools (dato gs_rating, coincide con el texto "GreatSchools rating of N out of 10").</t>
        </is>
      </c>
    </row>
    <row r="40" ht="42" customHeight="1">
      <c r="A40" s="21" t="n">
        <v>35</v>
      </c>
      <c r="B40" s="15" t="inlineStr">
        <is>
          <t>montgomery_county_md:montgomery_blair_high_school</t>
        </is>
      </c>
      <c r="C40" s="15" t="inlineStr">
        <is>
          <t>Montgomery Blair High School</t>
        </is>
      </c>
      <c r="D40" s="15" t="inlineStr">
        <is>
          <t>Montgomery County, MD</t>
        </is>
      </c>
      <c r="E40" s="15" t="inlineStr">
        <is>
          <t>MD</t>
        </is>
      </c>
      <c r="F40" s="19" t="inlineStr">
        <is>
          <t>https://www.greatschools.org/search/search.page?search_type=0&amp;q=Montgomery%20Blair%20High%20School&amp;state=MD</t>
        </is>
      </c>
      <c r="G40" s="19" t="inlineStr">
        <is>
          <t>https://www.greatschools.org/maryland/silver-spring/927-Montgomery-Blair-High-School/</t>
        </is>
      </c>
      <c r="H40" s="22" t="n">
        <v>6</v>
      </c>
      <c r="I40" s="15" t="str"/>
      <c r="J40" s="23" t="n">
        <v>46264</v>
      </c>
      <c r="K40" s="15" t="inlineStr">
        <is>
          <t>Verificado</t>
        </is>
      </c>
      <c r="L40" s="20" t="inlineStr">
        <is>
          <t>Score general leído de la ficha de GreatSchools (dato gs_rating, coincide con el texto "GreatSchools rating of N out of 10").</t>
        </is>
      </c>
    </row>
    <row r="41" ht="42" customHeight="1">
      <c r="A41" s="21" t="n">
        <v>36</v>
      </c>
      <c r="B41" s="15" t="inlineStr">
        <is>
          <t>montgomery_county_md:northwood_high_school</t>
        </is>
      </c>
      <c r="C41" s="15" t="inlineStr">
        <is>
          <t>Northwood High School</t>
        </is>
      </c>
      <c r="D41" s="15" t="inlineStr">
        <is>
          <t>Montgomery County, MD</t>
        </is>
      </c>
      <c r="E41" s="15" t="inlineStr">
        <is>
          <t>MD</t>
        </is>
      </c>
      <c r="F41" s="19" t="inlineStr">
        <is>
          <t>https://www.greatschools.org/search/search.page?search_type=0&amp;q=Northwood%20High%20School&amp;state=MD</t>
        </is>
      </c>
      <c r="G41" s="19" t="inlineStr">
        <is>
          <t>https://www.greatschools.org/maryland/silver-spring/2530-Northwood-High-School/</t>
        </is>
      </c>
      <c r="H41" s="22" t="n">
        <v>5</v>
      </c>
      <c r="I41" s="15" t="str"/>
      <c r="J41" s="23" t="n">
        <v>46264</v>
      </c>
      <c r="K41" s="15" t="inlineStr">
        <is>
          <t>Verificado</t>
        </is>
      </c>
      <c r="L41" s="20" t="inlineStr">
        <is>
          <t>Score general leído de la ficha de GreatSchools (dato gs_rating, coincide con el texto "GreatSchools rating of N out of 10").</t>
        </is>
      </c>
    </row>
    <row r="42" ht="42" customHeight="1">
      <c r="A42" s="21" t="n">
        <v>37</v>
      </c>
      <c r="B42" s="15" t="inlineStr">
        <is>
          <t>montgomery_county_md:james_hubert_blake_high_school</t>
        </is>
      </c>
      <c r="C42" s="15" t="inlineStr">
        <is>
          <t>James Hubert Blake High School</t>
        </is>
      </c>
      <c r="D42" s="15" t="inlineStr">
        <is>
          <t>Montgomery County, MD</t>
        </is>
      </c>
      <c r="E42" s="15" t="inlineStr">
        <is>
          <t>MD</t>
        </is>
      </c>
      <c r="F42" s="19" t="inlineStr">
        <is>
          <t>https://www.greatschools.org/search/search.page?search_type=0&amp;q=James%20Hubert%20Blake%20High%20School&amp;state=MD</t>
        </is>
      </c>
      <c r="G42" s="19" t="inlineStr">
        <is>
          <t>https://www.greatschools.org/maryland/silver-spring/992-James-Hubert-Blake-High-School/</t>
        </is>
      </c>
      <c r="H42" s="22" t="n">
        <v>4</v>
      </c>
      <c r="I42" s="15" t="str"/>
      <c r="J42" s="23" t="n">
        <v>46264</v>
      </c>
      <c r="K42" s="15" t="inlineStr">
        <is>
          <t>Verificado</t>
        </is>
      </c>
      <c r="L42" s="20" t="inlineStr">
        <is>
          <t>Score general leído de la ficha de GreatSchools (dato gs_rating, coincide con el texto "GreatSchools rating of N out of 10").</t>
        </is>
      </c>
    </row>
    <row r="43" ht="42" customHeight="1">
      <c r="A43" s="21" t="n">
        <v>38</v>
      </c>
      <c r="B43" s="15" t="inlineStr">
        <is>
          <t>montgomery_county_md:rockville_high_school</t>
        </is>
      </c>
      <c r="C43" s="15" t="inlineStr">
        <is>
          <t>Rockville High School</t>
        </is>
      </c>
      <c r="D43" s="15" t="inlineStr">
        <is>
          <t>Montgomery County, MD</t>
        </is>
      </c>
      <c r="E43" s="15" t="inlineStr">
        <is>
          <t>MD</t>
        </is>
      </c>
      <c r="F43" s="19" t="inlineStr">
        <is>
          <t>https://www.greatschools.org/search/search.page?search_type=0&amp;q=Rockville%20High%20School&amp;state=MD</t>
        </is>
      </c>
      <c r="G43" s="19" t="inlineStr">
        <is>
          <t>https://www.greatschools.org/maryland/rockville/949-Rockville-High-School/</t>
        </is>
      </c>
      <c r="H43" s="22" t="n">
        <v>5</v>
      </c>
      <c r="I43" s="15" t="str"/>
      <c r="J43" s="23" t="n">
        <v>46264</v>
      </c>
      <c r="K43" s="15" t="inlineStr">
        <is>
          <t>Verificado</t>
        </is>
      </c>
      <c r="L43" s="20" t="inlineStr">
        <is>
          <t>Score general leído de la ficha de GreatSchools (dato gs_rating, coincide con el texto "GreatSchools rating of N out of 10").</t>
        </is>
      </c>
    </row>
    <row r="44" ht="42" customHeight="1">
      <c r="A44" s="21" t="n">
        <v>39</v>
      </c>
      <c r="B44" s="15" t="inlineStr">
        <is>
          <t>montgomery_county_md:col_zadok_magruder_high_school</t>
        </is>
      </c>
      <c r="C44" s="15" t="inlineStr">
        <is>
          <t>Col. Zadok Magruder High School</t>
        </is>
      </c>
      <c r="D44" s="15" t="inlineStr">
        <is>
          <t>Montgomery County, MD</t>
        </is>
      </c>
      <c r="E44" s="15" t="inlineStr">
        <is>
          <t>MD</t>
        </is>
      </c>
      <c r="F44" s="19" t="inlineStr">
        <is>
          <t>https://www.greatschools.org/search/search.page?search_type=0&amp;q=Col.%20Zadok%20Magruder%20High%20School&amp;state=MD</t>
        </is>
      </c>
      <c r="G44" s="19" t="inlineStr">
        <is>
          <t>https://www.greatschools.org/maryland/derwood/879-Col.-Zadok-Magruder-High-School/</t>
        </is>
      </c>
      <c r="H44" s="22" t="n">
        <v>5</v>
      </c>
      <c r="I44" s="15" t="str"/>
      <c r="J44" s="23" t="n">
        <v>46264</v>
      </c>
      <c r="K44" s="15" t="inlineStr">
        <is>
          <t>Verificado</t>
        </is>
      </c>
      <c r="L44" s="20" t="inlineStr">
        <is>
          <t>Score general leído de la ficha de GreatSchools (dato gs_rating, coincide con el texto "GreatSchools rating of N out of 10").</t>
        </is>
      </c>
    </row>
    <row r="45" ht="42" customHeight="1">
      <c r="A45" s="21" t="n">
        <v>40</v>
      </c>
      <c r="B45" s="15" t="inlineStr">
        <is>
          <t>montgomery_county_md:john_f_kennedy_high_school</t>
        </is>
      </c>
      <c r="C45" s="15" t="inlineStr">
        <is>
          <t>John F. Kennedy High School</t>
        </is>
      </c>
      <c r="D45" s="15" t="inlineStr">
        <is>
          <t>Montgomery County, MD</t>
        </is>
      </c>
      <c r="E45" s="15" t="inlineStr">
        <is>
          <t>MD</t>
        </is>
      </c>
      <c r="F45" s="19" t="inlineStr">
        <is>
          <t>https://www.greatschools.org/search/search.page?search_type=0&amp;q=John%20F.%20Kennedy%20High%20School&amp;state=MD</t>
        </is>
      </c>
      <c r="G45" s="19" t="inlineStr">
        <is>
          <t>https://www.greatschools.org/maryland/silver-spring/911-John-F.-Kennedy-High-School/</t>
        </is>
      </c>
      <c r="H45" s="22" t="n">
        <v>3</v>
      </c>
      <c r="I45" s="15" t="str"/>
      <c r="J45" s="23" t="n">
        <v>46264</v>
      </c>
      <c r="K45" s="15" t="inlineStr">
        <is>
          <t>Verificado</t>
        </is>
      </c>
      <c r="L45" s="20" t="inlineStr">
        <is>
          <t>Score general leído de la ficha de GreatSchools (dato gs_rating, coincide con el texto "GreatSchools rating of N out of 10").</t>
        </is>
      </c>
    </row>
    <row r="46" ht="42" customHeight="1">
      <c r="A46" s="21" t="n">
        <v>41</v>
      </c>
      <c r="B46" s="15" t="inlineStr">
        <is>
          <t>montgomery_county_md:springbrook_high_school</t>
        </is>
      </c>
      <c r="C46" s="15" t="inlineStr">
        <is>
          <t>Springbrook High School</t>
        </is>
      </c>
      <c r="D46" s="15" t="inlineStr">
        <is>
          <t>Montgomery County, MD</t>
        </is>
      </c>
      <c r="E46" s="15" t="inlineStr">
        <is>
          <t>MD</t>
        </is>
      </c>
      <c r="F46" s="19" t="inlineStr">
        <is>
          <t>https://www.greatschools.org/search/search.page?search_type=0&amp;q=Springbrook%20High%20School&amp;state=MD</t>
        </is>
      </c>
      <c r="G46" s="19" t="inlineStr">
        <is>
          <t>https://www.greatschools.org/maryland/silver-spring/959-Springbrook-High-School/</t>
        </is>
      </c>
      <c r="H46" s="22" t="n">
        <v>5</v>
      </c>
      <c r="I46" s="15" t="str"/>
      <c r="J46" s="23" t="n">
        <v>46264</v>
      </c>
      <c r="K46" s="15" t="inlineStr">
        <is>
          <t>Verificado</t>
        </is>
      </c>
      <c r="L46" s="20" t="inlineStr">
        <is>
          <t>Score general leído de la ficha de GreatSchools (dato gs_rating, coincide con el texto "GreatSchools rating of N out of 10").</t>
        </is>
      </c>
    </row>
    <row r="47" ht="42" customHeight="1">
      <c r="A47" s="21" t="n">
        <v>42</v>
      </c>
      <c r="B47" s="15" t="inlineStr">
        <is>
          <t>montgomery_county_md:northwest_high_school</t>
        </is>
      </c>
      <c r="C47" s="15" t="inlineStr">
        <is>
          <t>Northwest High School</t>
        </is>
      </c>
      <c r="D47" s="15" t="inlineStr">
        <is>
          <t>Montgomery County, MD</t>
        </is>
      </c>
      <c r="E47" s="15" t="inlineStr">
        <is>
          <t>MD</t>
        </is>
      </c>
      <c r="F47" s="19" t="inlineStr">
        <is>
          <t>https://www.greatschools.org/search/search.page?search_type=0&amp;q=Northwest%20High%20School&amp;state=MD</t>
        </is>
      </c>
      <c r="G47" s="19" t="inlineStr">
        <is>
          <t>https://www.greatschools.org/maryland/germantown/991-Northwest-High-School/</t>
        </is>
      </c>
      <c r="H47" s="22" t="n">
        <v>8</v>
      </c>
      <c r="I47" s="15" t="str"/>
      <c r="J47" s="23" t="n">
        <v>46264</v>
      </c>
      <c r="K47" s="15" t="inlineStr">
        <is>
          <t>Verificado</t>
        </is>
      </c>
      <c r="L47" s="20" t="inlineStr">
        <is>
          <t>Score general leído de la ficha de GreatSchools (dato gs_rating, coincide con el texto "GreatSchools rating of N out of 10").</t>
        </is>
      </c>
    </row>
    <row r="48" ht="42" customHeight="1">
      <c r="A48" s="21" t="n">
        <v>43</v>
      </c>
      <c r="B48" s="15" t="inlineStr">
        <is>
          <t>montgomery_county_md:gaithersburg_high_school</t>
        </is>
      </c>
      <c r="C48" s="15" t="inlineStr">
        <is>
          <t>Gaithersburg High School</t>
        </is>
      </c>
      <c r="D48" s="15" t="inlineStr">
        <is>
          <t>Montgomery County, MD</t>
        </is>
      </c>
      <c r="E48" s="15" t="inlineStr">
        <is>
          <t>MD</t>
        </is>
      </c>
      <c r="F48" s="19" t="inlineStr">
        <is>
          <t>https://www.greatschools.org/search/search.page?search_type=0&amp;q=Gaithersburg%20High%20School&amp;state=MD</t>
        </is>
      </c>
      <c r="G48" s="19" t="inlineStr">
        <is>
          <t>https://www.greatschools.org/maryland/gaithersburg/898-Gaithersburg-High-School/</t>
        </is>
      </c>
      <c r="H48" s="22" t="n">
        <v>3</v>
      </c>
      <c r="I48" s="15" t="str"/>
      <c r="J48" s="23" t="n">
        <v>46264</v>
      </c>
      <c r="K48" s="15" t="inlineStr">
        <is>
          <t>Verificado</t>
        </is>
      </c>
      <c r="L48" s="20" t="inlineStr">
        <is>
          <t>Score general leído de la ficha de GreatSchools (dato gs_rating, coincide con el texto "GreatSchools rating of N out of 10").</t>
        </is>
      </c>
    </row>
    <row r="49" ht="42" customHeight="1">
      <c r="A49" s="21" t="n">
        <v>44</v>
      </c>
      <c r="B49" s="15" t="inlineStr">
        <is>
          <t>montgomery_county_md:sherwood_high_school</t>
        </is>
      </c>
      <c r="C49" s="15" t="inlineStr">
        <is>
          <t>Sherwood High School</t>
        </is>
      </c>
      <c r="D49" s="15" t="inlineStr">
        <is>
          <t>Montgomery County, MD</t>
        </is>
      </c>
      <c r="E49" s="15" t="inlineStr">
        <is>
          <t>MD</t>
        </is>
      </c>
      <c r="F49" s="19" t="inlineStr">
        <is>
          <t>https://www.greatschools.org/search/search.page?search_type=0&amp;q=Sherwood%20High%20School&amp;state=MD</t>
        </is>
      </c>
      <c r="G49" s="19" t="inlineStr">
        <is>
          <t>https://www.greatschools.org/maryland/ashton_sandy-spring/956-Sherwood-High-School/</t>
        </is>
      </c>
      <c r="H49" s="22" t="n">
        <v>7</v>
      </c>
      <c r="I49" s="15" t="str"/>
      <c r="J49" s="23" t="n">
        <v>46264</v>
      </c>
      <c r="K49" s="15" t="inlineStr">
        <is>
          <t>Verificado</t>
        </is>
      </c>
      <c r="L49" s="20" t="inlineStr">
        <is>
          <t>GreatSchools la ubica en Ashton-Sandy Spring, MD. Score general leído de la ficha de GreatSchools (dato gs_rating, coincide con el texto "GreatSchools rating of N out of 10").</t>
        </is>
      </c>
    </row>
    <row r="50" ht="42" customHeight="1">
      <c r="A50" s="21" t="n">
        <v>45</v>
      </c>
      <c r="B50" s="15" t="inlineStr">
        <is>
          <t>montgomery_county_md:wheaton_high_school</t>
        </is>
      </c>
      <c r="C50" s="15" t="inlineStr">
        <is>
          <t>Wheaton High School</t>
        </is>
      </c>
      <c r="D50" s="15" t="inlineStr">
        <is>
          <t>Montgomery County, MD</t>
        </is>
      </c>
      <c r="E50" s="15" t="inlineStr">
        <is>
          <t>MD</t>
        </is>
      </c>
      <c r="F50" s="19" t="inlineStr">
        <is>
          <t>https://www.greatschools.org/search/search.page?search_type=0&amp;q=Wheaton%20High%20School&amp;state=MD</t>
        </is>
      </c>
      <c r="G50" s="19" t="inlineStr">
        <is>
          <t>https://www.greatschools.org/maryland/silver-spring/980-Wheaton-High-School/</t>
        </is>
      </c>
      <c r="H50" s="22" t="n">
        <v>4</v>
      </c>
      <c r="I50" s="15" t="str"/>
      <c r="J50" s="23" t="n">
        <v>46264</v>
      </c>
      <c r="K50" s="15" t="inlineStr">
        <is>
          <t>Verificado</t>
        </is>
      </c>
      <c r="L50" s="20" t="inlineStr">
        <is>
          <t>Score general leído de la ficha de GreatSchools (dato gs_rating, coincide con el texto "GreatSchools rating of N out of 10").</t>
        </is>
      </c>
    </row>
    <row r="51" ht="42" customHeight="1">
      <c r="A51" s="21" t="n">
        <v>46</v>
      </c>
      <c r="B51" s="15" t="inlineStr">
        <is>
          <t>montgomery_county_md:albert_einstein_high_school</t>
        </is>
      </c>
      <c r="C51" s="15" t="inlineStr">
        <is>
          <t>Albert Einstein High School</t>
        </is>
      </c>
      <c r="D51" s="15" t="inlineStr">
        <is>
          <t>Montgomery County, MD</t>
        </is>
      </c>
      <c r="E51" s="15" t="inlineStr">
        <is>
          <t>MD</t>
        </is>
      </c>
      <c r="F51" s="19" t="inlineStr">
        <is>
          <t>https://www.greatschools.org/search/search.page?search_type=0&amp;q=Albert%20Einstein%20High%20School&amp;state=MD</t>
        </is>
      </c>
      <c r="G51" s="19" t="inlineStr">
        <is>
          <t>https://www.greatschools.org/maryland/kensington/854-Albert-Einstein-High-School/</t>
        </is>
      </c>
      <c r="H51" s="22" t="n">
        <v>5</v>
      </c>
      <c r="I51" s="15" t="str"/>
      <c r="J51" s="23" t="n">
        <v>46264</v>
      </c>
      <c r="K51" s="15" t="inlineStr">
        <is>
          <t>Verificado</t>
        </is>
      </c>
      <c r="L51" s="20" t="inlineStr">
        <is>
          <t>Score general leído de la ficha de GreatSchools (dato gs_rating, coincide con el texto "GreatSchools rating of N out of 10").</t>
        </is>
      </c>
    </row>
    <row r="52" ht="42" customHeight="1">
      <c r="A52" s="21" t="n">
        <v>47</v>
      </c>
      <c r="B52" s="15" t="inlineStr">
        <is>
          <t>montgomery_county_md:clarksburg_high_school</t>
        </is>
      </c>
      <c r="C52" s="15" t="inlineStr">
        <is>
          <t>Clarksburg High School</t>
        </is>
      </c>
      <c r="D52" s="15" t="inlineStr">
        <is>
          <t>Montgomery County, MD</t>
        </is>
      </c>
      <c r="E52" s="15" t="inlineStr">
        <is>
          <t>MD</t>
        </is>
      </c>
      <c r="F52" s="19" t="inlineStr">
        <is>
          <t>https://www.greatschools.org/search/search.page?search_type=0&amp;q=Clarksburg%20High%20School&amp;state=MD</t>
        </is>
      </c>
      <c r="G52" s="19" t="inlineStr">
        <is>
          <t>https://www.greatschools.org/maryland/clarksburg/4029-Clarksburg-High-School/</t>
        </is>
      </c>
      <c r="H52" s="22" t="n">
        <v>7</v>
      </c>
      <c r="I52" s="15" t="str"/>
      <c r="J52" s="23" t="n">
        <v>46264</v>
      </c>
      <c r="K52" s="15" t="inlineStr">
        <is>
          <t>Verificado</t>
        </is>
      </c>
      <c r="L52" s="20" t="inlineStr">
        <is>
          <t>Score general leído de la ficha de GreatSchools (dato gs_rating, coincide con el texto "GreatSchools rating of N out of 10").</t>
        </is>
      </c>
    </row>
    <row r="53" ht="42" customHeight="1">
      <c r="A53" s="21" t="n">
        <v>48</v>
      </c>
      <c r="B53" s="15" t="inlineStr">
        <is>
          <t>montgomery_county_md:damascus_high_school</t>
        </is>
      </c>
      <c r="C53" s="15" t="inlineStr">
        <is>
          <t>Damascus High School</t>
        </is>
      </c>
      <c r="D53" s="15" t="inlineStr">
        <is>
          <t>Montgomery County, MD</t>
        </is>
      </c>
      <c r="E53" s="15" t="inlineStr">
        <is>
          <t>MD</t>
        </is>
      </c>
      <c r="F53" s="19" t="inlineStr">
        <is>
          <t>https://www.greatschools.org/search/search.page?search_type=0&amp;q=Damascus%20High%20School&amp;state=MD</t>
        </is>
      </c>
      <c r="G53" s="19" t="inlineStr">
        <is>
          <t>https://www.greatschools.org/maryland/damascus/1003-Damascus-High-School/</t>
        </is>
      </c>
      <c r="H53" s="22" t="n">
        <v>7</v>
      </c>
      <c r="I53" s="15" t="str"/>
      <c r="J53" s="23" t="n">
        <v>46264</v>
      </c>
      <c r="K53" s="15" t="inlineStr">
        <is>
          <t>Verificado</t>
        </is>
      </c>
      <c r="L53" s="20" t="inlineStr">
        <is>
          <t>Score general leído de la ficha de GreatSchools (dato gs_rating, coincide con el texto "GreatSchools rating of N out of 10").</t>
        </is>
      </c>
    </row>
    <row r="54" ht="42" customHeight="1">
      <c r="A54" s="21" t="n">
        <v>49</v>
      </c>
      <c r="B54" s="15" t="inlineStr">
        <is>
          <t>montgomery_county_md:paint_branch_high_school</t>
        </is>
      </c>
      <c r="C54" s="15" t="inlineStr">
        <is>
          <t>Paint Branch High School</t>
        </is>
      </c>
      <c r="D54" s="15" t="inlineStr">
        <is>
          <t>Montgomery County, MD</t>
        </is>
      </c>
      <c r="E54" s="15" t="inlineStr">
        <is>
          <t>MD</t>
        </is>
      </c>
      <c r="F54" s="19" t="inlineStr">
        <is>
          <t>https://www.greatschools.org/search/search.page?search_type=0&amp;q=Paint%20Branch%20High%20School&amp;state=MD</t>
        </is>
      </c>
      <c r="G54" s="19" t="inlineStr">
        <is>
          <t>https://www.greatschools.org/maryland/burtonsville/934-Paint-Branch-High-School/</t>
        </is>
      </c>
      <c r="H54" s="22" t="n">
        <v>4</v>
      </c>
      <c r="I54" s="15" t="str"/>
      <c r="J54" s="23" t="n">
        <v>46264</v>
      </c>
      <c r="K54" s="15" t="inlineStr">
        <is>
          <t>Verificado</t>
        </is>
      </c>
      <c r="L54" s="20" t="inlineStr">
        <is>
          <t>Score general leído de la ficha de GreatSchools (dato gs_rating, coincide con el texto "GreatSchools rating of N out of 10").</t>
        </is>
      </c>
    </row>
    <row r="55" ht="42" customHeight="1">
      <c r="A55" s="21" t="n">
        <v>50</v>
      </c>
      <c r="B55" s="15" t="inlineStr">
        <is>
          <t>montgomery_county_md:poolesville_high_school</t>
        </is>
      </c>
      <c r="C55" s="15" t="inlineStr">
        <is>
          <t>Poolesville High School</t>
        </is>
      </c>
      <c r="D55" s="15" t="inlineStr">
        <is>
          <t>Montgomery County, MD</t>
        </is>
      </c>
      <c r="E55" s="15" t="inlineStr">
        <is>
          <t>MD</t>
        </is>
      </c>
      <c r="F55" s="19" t="inlineStr">
        <is>
          <t>https://www.greatschools.org/search/search.page?search_type=0&amp;q=Poolesville%20High%20School&amp;state=MD</t>
        </is>
      </c>
      <c r="G55" s="19" t="inlineStr">
        <is>
          <t>https://www.greatschools.org/maryland/poolesville/940-Poolesville-High-School/</t>
        </is>
      </c>
      <c r="H55" s="22" t="n">
        <v>9</v>
      </c>
      <c r="I55" s="15" t="str"/>
      <c r="J55" s="23" t="n">
        <v>46264</v>
      </c>
      <c r="K55" s="15" t="inlineStr">
        <is>
          <t>Verificado</t>
        </is>
      </c>
      <c r="L55" s="20" t="inlineStr">
        <is>
          <t>Score general leído de la ficha de GreatSchools (dato gs_rating, coincide con el texto "GreatSchools rating of N out of 10").</t>
        </is>
      </c>
    </row>
    <row r="56" ht="42" customHeight="1">
      <c r="A56" s="21" t="n">
        <v>51</v>
      </c>
      <c r="B56" s="15" t="inlineStr">
        <is>
          <t>montgomery_county_md:quince_orchard_high_school</t>
        </is>
      </c>
      <c r="C56" s="15" t="inlineStr">
        <is>
          <t>Quince Orchard High School</t>
        </is>
      </c>
      <c r="D56" s="15" t="inlineStr">
        <is>
          <t>Montgomery County, MD</t>
        </is>
      </c>
      <c r="E56" s="15" t="inlineStr">
        <is>
          <t>MD</t>
        </is>
      </c>
      <c r="F56" s="19" t="inlineStr">
        <is>
          <t>https://www.greatschools.org/search/search.page?search_type=0&amp;q=Quince%20Orchard%20High%20School&amp;state=MD</t>
        </is>
      </c>
      <c r="G56" s="19" t="inlineStr">
        <is>
          <t>https://www.greatschools.org/maryland/gaithersburg/1010-Quince-Orchard-High-School/</t>
        </is>
      </c>
      <c r="H56" s="22" t="n">
        <v>6</v>
      </c>
      <c r="I56" s="15" t="str"/>
      <c r="J56" s="23" t="n">
        <v>46264</v>
      </c>
      <c r="K56" s="15" t="inlineStr">
        <is>
          <t>Verificado</t>
        </is>
      </c>
      <c r="L56" s="20" t="inlineStr">
        <is>
          <t>Score general leído de la ficha de GreatSchools (dato gs_rating, coincide con el texto "GreatSchools rating of N out of 10").</t>
        </is>
      </c>
    </row>
    <row r="57" ht="42" customHeight="1">
      <c r="A57" s="21" t="n">
        <v>52</v>
      </c>
      <c r="B57" s="15" t="inlineStr">
        <is>
          <t>montgomery_county_md:seneca_valley_high_school</t>
        </is>
      </c>
      <c r="C57" s="15" t="inlineStr">
        <is>
          <t>Seneca Valley High School</t>
        </is>
      </c>
      <c r="D57" s="15" t="inlineStr">
        <is>
          <t>Montgomery County, MD</t>
        </is>
      </c>
      <c r="E57" s="15" t="inlineStr">
        <is>
          <t>MD</t>
        </is>
      </c>
      <c r="F57" s="19" t="inlineStr">
        <is>
          <t>https://www.greatschools.org/search/search.page?search_type=0&amp;q=Seneca%20Valley%20High%20School&amp;state=MD</t>
        </is>
      </c>
      <c r="G57" s="19" t="inlineStr">
        <is>
          <t>https://www.greatschools.org/maryland/germantown/953-Seneca-Valley-High-School/</t>
        </is>
      </c>
      <c r="H57" s="22" t="n">
        <v>4</v>
      </c>
      <c r="I57" s="15" t="str"/>
      <c r="J57" s="23" t="n">
        <v>46264</v>
      </c>
      <c r="K57" s="15" t="inlineStr">
        <is>
          <t>Verificado</t>
        </is>
      </c>
      <c r="L57" s="20" t="inlineStr">
        <is>
          <t>Score general leído de la ficha de GreatSchools (dato gs_rating, coincide con el texto "GreatSchools rating of N out of 10").</t>
        </is>
      </c>
    </row>
    <row r="58" ht="42" customHeight="1">
      <c r="A58" s="21" t="n">
        <v>53</v>
      </c>
      <c r="B58" s="15" t="inlineStr">
        <is>
          <t>montgomery_county_md:watkins_mill_high_school</t>
        </is>
      </c>
      <c r="C58" s="15" t="inlineStr">
        <is>
          <t>Watkins Mill High School</t>
        </is>
      </c>
      <c r="D58" s="15" t="inlineStr">
        <is>
          <t>Montgomery County, MD</t>
        </is>
      </c>
      <c r="E58" s="15" t="inlineStr">
        <is>
          <t>MD</t>
        </is>
      </c>
      <c r="F58" s="19" t="inlineStr">
        <is>
          <t>https://www.greatschools.org/search/search.page?search_type=0&amp;q=Watkins%20Mill%20High%20School&amp;state=MD</t>
        </is>
      </c>
      <c r="G58" s="19" t="inlineStr">
        <is>
          <t>https://www.greatschools.org/maryland/gaithersburg/1018-Watkins-Mill-High-School/</t>
        </is>
      </c>
      <c r="H58" s="22" t="n">
        <v>3</v>
      </c>
      <c r="I58" s="15" t="str"/>
      <c r="J58" s="23" t="n">
        <v>46264</v>
      </c>
      <c r="K58" s="15" t="inlineStr">
        <is>
          <t>Verificado</t>
        </is>
      </c>
      <c r="L58" s="20" t="inlineStr">
        <is>
          <t>Score general leído de la ficha de GreatSchools (dato gs_rating, coincide con el texto "GreatSchools rating of N out of 10").</t>
        </is>
      </c>
    </row>
    <row r="59" ht="42" customHeight="1">
      <c r="A59" s="21" t="n">
        <v>54</v>
      </c>
      <c r="B59" s="15" t="inlineStr">
        <is>
          <t>prince_georges_county_md:eleanor_roosevelt_high_school</t>
        </is>
      </c>
      <c r="C59" s="15" t="inlineStr">
        <is>
          <t>Eleanor Roosevelt High School</t>
        </is>
      </c>
      <c r="D59" s="15" t="inlineStr">
        <is>
          <t>Prince George's County, MD</t>
        </is>
      </c>
      <c r="E59" s="15" t="inlineStr">
        <is>
          <t>MD</t>
        </is>
      </c>
      <c r="F59" s="19" t="inlineStr">
        <is>
          <t>https://www.greatschools.org/search/search.page?search_type=0&amp;q=Eleanor%20Roosevelt%20High%20School&amp;state=MD</t>
        </is>
      </c>
      <c r="G59" s="19" t="inlineStr">
        <is>
          <t>https://www.greatschools.org/maryland/greenbelt/1084-Eleanor-Roosevelt-High-School/</t>
        </is>
      </c>
      <c r="H59" s="22" t="n">
        <v>7</v>
      </c>
      <c r="I59" s="15" t="str"/>
      <c r="J59" s="23" t="n">
        <v>46264</v>
      </c>
      <c r="K59" s="15" t="inlineStr">
        <is>
          <t>Verificado</t>
        </is>
      </c>
      <c r="L59" s="20" t="inlineStr">
        <is>
          <t>Score general leído de la ficha de GreatSchools (dato gs_rating, coincide con el texto "GreatSchools rating of N out of 10").</t>
        </is>
      </c>
    </row>
    <row r="60" ht="42" customHeight="1">
      <c r="A60" s="21" t="n">
        <v>55</v>
      </c>
      <c r="B60" s="15" t="inlineStr">
        <is>
          <t>prince_georges_county_md:frederick_douglass_high_school</t>
        </is>
      </c>
      <c r="C60" s="15" t="inlineStr">
        <is>
          <t>Frederick Douglass High School</t>
        </is>
      </c>
      <c r="D60" s="15" t="inlineStr">
        <is>
          <t>Prince George's County, MD</t>
        </is>
      </c>
      <c r="E60" s="15" t="inlineStr">
        <is>
          <t>MD</t>
        </is>
      </c>
      <c r="F60" s="19" t="inlineStr">
        <is>
          <t>https://www.greatschools.org/search/search.page?search_type=0&amp;q=Frederick%20Douglass%20High%20School&amp;state=MD</t>
        </is>
      </c>
      <c r="G60" s="19" t="inlineStr">
        <is>
          <t>https://www.greatschools.org/maryland/upper-marlboro/1092-Frederick-Douglass-High-School/</t>
        </is>
      </c>
      <c r="H60" s="22" t="n">
        <v>5</v>
      </c>
      <c r="I60" s="15" t="str"/>
      <c r="J60" s="23" t="n">
        <v>46264</v>
      </c>
      <c r="K60" s="15" t="inlineStr">
        <is>
          <t>Verificado</t>
        </is>
      </c>
      <c r="L60" s="20" t="inlineStr">
        <is>
          <t>Score general leído de la ficha de GreatSchools (dato gs_rating, coincide con el texto "GreatSchools rating of N out of 10").</t>
        </is>
      </c>
    </row>
    <row r="61" ht="42" customHeight="1">
      <c r="A61" s="21" t="n">
        <v>56</v>
      </c>
      <c r="B61" s="15" t="inlineStr">
        <is>
          <t>prince_georges_county_md:bowie_high_school</t>
        </is>
      </c>
      <c r="C61" s="15" t="inlineStr">
        <is>
          <t>Bowie High School</t>
        </is>
      </c>
      <c r="D61" s="15" t="inlineStr">
        <is>
          <t>Prince George's County, MD</t>
        </is>
      </c>
      <c r="E61" s="15" t="inlineStr">
        <is>
          <t>MD</t>
        </is>
      </c>
      <c r="F61" s="19" t="inlineStr">
        <is>
          <t>https://www.greatschools.org/search/search.page?search_type=0&amp;q=Bowie%20High%20School&amp;state=MD</t>
        </is>
      </c>
      <c r="G61" s="19" t="inlineStr">
        <is>
          <t>https://www.greatschools.org/maryland/bowie/1056-Bowie-High-School/</t>
        </is>
      </c>
      <c r="H61" s="22" t="n">
        <v>5</v>
      </c>
      <c r="I61" s="15" t="str"/>
      <c r="J61" s="23" t="n">
        <v>46264</v>
      </c>
      <c r="K61" s="15" t="inlineStr">
        <is>
          <t>Verificado</t>
        </is>
      </c>
      <c r="L61" s="20" t="inlineStr">
        <is>
          <t>Score general leído de la ficha de GreatSchools (dato gs_rating, coincide con el texto "GreatSchools rating of N out of 10").</t>
        </is>
      </c>
    </row>
    <row r="62" ht="42" customHeight="1">
      <c r="A62" s="21" t="n">
        <v>57</v>
      </c>
      <c r="B62" s="15" t="inlineStr">
        <is>
          <t>prince_georges_county_md:dr_henry_a_wise_jr_high_school</t>
        </is>
      </c>
      <c r="C62" s="15" t="inlineStr">
        <is>
          <t>Dr. Henry A. Wise Jr. High School</t>
        </is>
      </c>
      <c r="D62" s="15" t="inlineStr">
        <is>
          <t>Prince George's County, MD</t>
        </is>
      </c>
      <c r="E62" s="15" t="inlineStr">
        <is>
          <t>MD</t>
        </is>
      </c>
      <c r="F62" s="19" t="inlineStr">
        <is>
          <t>https://www.greatschools.org/search/search.page?search_type=0&amp;q=Dr.%20Henry%20A.%20Wise%20Jr.%20High%20School&amp;state=MD</t>
        </is>
      </c>
      <c r="G62" s="19" t="inlineStr">
        <is>
          <t>https://www.greatschools.org/maryland/upper-marlboro/4030-Dr.-Henry-A.-Wise-Jr.-High-School/</t>
        </is>
      </c>
      <c r="H62" s="22" t="n">
        <v>3</v>
      </c>
      <c r="I62" s="15" t="str"/>
      <c r="J62" s="23" t="n">
        <v>46264</v>
      </c>
      <c r="K62" s="15" t="inlineStr">
        <is>
          <t>Verificado</t>
        </is>
      </c>
      <c r="L62" s="20" t="inlineStr">
        <is>
          <t>Score general leído de la ficha de GreatSchools (dato gs_rating, coincide con el texto "GreatSchools rating of N out of 10").</t>
        </is>
      </c>
    </row>
    <row r="63" ht="42" customHeight="1">
      <c r="A63" s="21" t="n">
        <v>58</v>
      </c>
      <c r="B63" s="15" t="inlineStr">
        <is>
          <t>prince_georges_county_md:largo_high_school</t>
        </is>
      </c>
      <c r="C63" s="15" t="inlineStr">
        <is>
          <t>Largo High School</t>
        </is>
      </c>
      <c r="D63" s="15" t="inlineStr">
        <is>
          <t>Prince George's County, MD</t>
        </is>
      </c>
      <c r="E63" s="15" t="inlineStr">
        <is>
          <t>MD</t>
        </is>
      </c>
      <c r="F63" s="19" t="inlineStr">
        <is>
          <t>https://www.greatschools.org/search/search.page?search_type=0&amp;q=Largo%20High%20School&amp;state=MD</t>
        </is>
      </c>
      <c r="G63" s="19" t="inlineStr">
        <is>
          <t>https://www.greatschools.org/maryland/upper-marlboro/1130-Largo-High-School/</t>
        </is>
      </c>
      <c r="H63" s="22" t="n">
        <v>4</v>
      </c>
      <c r="I63" s="15" t="str"/>
      <c r="J63" s="23" t="n">
        <v>46264</v>
      </c>
      <c r="K63" s="15" t="inlineStr">
        <is>
          <t>Verificado</t>
        </is>
      </c>
      <c r="L63" s="20" t="inlineStr">
        <is>
          <t>Score general leído de la ficha de GreatSchools (dato gs_rating, coincide con el texto "GreatSchools rating of N out of 10").</t>
        </is>
      </c>
    </row>
    <row r="64" ht="42" customHeight="1">
      <c r="A64" s="21" t="n">
        <v>59</v>
      </c>
      <c r="B64" s="15" t="inlineStr">
        <is>
          <t>prince_georges_county_md:northwestern_high_school</t>
        </is>
      </c>
      <c r="C64" s="15" t="inlineStr">
        <is>
          <t>Northwestern High School</t>
        </is>
      </c>
      <c r="D64" s="15" t="inlineStr">
        <is>
          <t>Prince George's County, MD</t>
        </is>
      </c>
      <c r="E64" s="15" t="inlineStr">
        <is>
          <t>MD</t>
        </is>
      </c>
      <c r="F64" s="19" t="inlineStr">
        <is>
          <t>https://www.greatschools.org/search/search.page?search_type=0&amp;q=Northwestern%20High%20School&amp;state=MD</t>
        </is>
      </c>
      <c r="G64" s="19" t="inlineStr">
        <is>
          <t>https://www.greatschools.org/maryland/hyattsville/1149-Northwestern-High-School/</t>
        </is>
      </c>
      <c r="H64" s="22" t="n">
        <v>2</v>
      </c>
      <c r="I64" s="15" t="str"/>
      <c r="J64" s="23" t="n">
        <v>46264</v>
      </c>
      <c r="K64" s="15" t="inlineStr">
        <is>
          <t>Verificado</t>
        </is>
      </c>
      <c r="L64" s="20" t="inlineStr">
        <is>
          <t>Score general leído de la ficha de GreatSchools (dato gs_rating, coincide con el texto "GreatSchools rating of N out of 10").</t>
        </is>
      </c>
    </row>
    <row r="65" ht="42" customHeight="1">
      <c r="A65" s="21" t="n">
        <v>60</v>
      </c>
      <c r="B65" s="15" t="inlineStr">
        <is>
          <t>prince_georges_county_md:bladensburg_high_school</t>
        </is>
      </c>
      <c r="C65" s="15" t="inlineStr">
        <is>
          <t>Bladensburg High School</t>
        </is>
      </c>
      <c r="D65" s="15" t="inlineStr">
        <is>
          <t>Prince George's County, MD</t>
        </is>
      </c>
      <c r="E65" s="15" t="inlineStr">
        <is>
          <t>MD</t>
        </is>
      </c>
      <c r="F65" s="19" t="inlineStr">
        <is>
          <t>https://www.greatschools.org/search/search.page?search_type=0&amp;q=Bladensburg%20High%20School&amp;state=MD</t>
        </is>
      </c>
      <c r="G65" s="19" t="inlineStr">
        <is>
          <t>https://www.greatschools.org/maryland/bladensburg/1054-Bladensburg-High-School/</t>
        </is>
      </c>
      <c r="H65" s="22" t="n">
        <v>2</v>
      </c>
      <c r="I65" s="15" t="str"/>
      <c r="J65" s="23" t="n">
        <v>46264</v>
      </c>
      <c r="K65" s="15" t="inlineStr">
        <is>
          <t>Verificado</t>
        </is>
      </c>
      <c r="L65" s="20" t="inlineStr">
        <is>
          <t>Score general leído de la ficha de GreatSchools (dato gs_rating, coincide con el texto "GreatSchools rating of N out of 10").</t>
        </is>
      </c>
    </row>
    <row r="66" ht="42" customHeight="1">
      <c r="A66" s="21" t="n">
        <v>61</v>
      </c>
      <c r="B66" s="15" t="inlineStr">
        <is>
          <t>prince_georges_county_md:central_high_school</t>
        </is>
      </c>
      <c r="C66" s="15" t="inlineStr">
        <is>
          <t>Central High School</t>
        </is>
      </c>
      <c r="D66" s="15" t="inlineStr">
        <is>
          <t>Prince George's County, MD</t>
        </is>
      </c>
      <c r="E66" s="15" t="inlineStr">
        <is>
          <t>MD</t>
        </is>
      </c>
      <c r="F66" s="19" t="inlineStr">
        <is>
          <t>https://www.greatschools.org/search/search.page?search_type=0&amp;q=Central%20High%20School&amp;state=MD</t>
        </is>
      </c>
      <c r="G66" s="19" t="inlineStr">
        <is>
          <t>https://www.greatschools.org/maryland/capitol-heights/1066-Central-High-School/</t>
        </is>
      </c>
      <c r="H66" s="22" t="n">
        <v>2</v>
      </c>
      <c r="I66" s="15" t="str"/>
      <c r="J66" s="23" t="n">
        <v>46264</v>
      </c>
      <c r="K66" s="15" t="inlineStr">
        <is>
          <t>Verificado</t>
        </is>
      </c>
      <c r="L66" s="20" t="inlineStr">
        <is>
          <t>Score general leído de la ficha de GreatSchools (dato gs_rating, coincide con el texto "GreatSchools rating of N out of 10").</t>
        </is>
      </c>
    </row>
    <row r="67" ht="42" customHeight="1">
      <c r="A67" s="21" t="n">
        <v>62</v>
      </c>
      <c r="B67" s="15" t="inlineStr">
        <is>
          <t>prince_georges_county_md:charles_herbert_flowers_high_school</t>
        </is>
      </c>
      <c r="C67" s="15" t="inlineStr">
        <is>
          <t>Charles Herbert Flowers High School</t>
        </is>
      </c>
      <c r="D67" s="15" t="inlineStr">
        <is>
          <t>Prince George's County, MD</t>
        </is>
      </c>
      <c r="E67" s="15" t="inlineStr">
        <is>
          <t>MD</t>
        </is>
      </c>
      <c r="F67" s="19" t="inlineStr">
        <is>
          <t>https://www.greatschools.org/search/search.page?search_type=0&amp;q=Charles%20Herbert%20Flowers%20High%20School&amp;state=MD</t>
        </is>
      </c>
      <c r="G67" s="19" t="inlineStr">
        <is>
          <t>https://www.greatschools.org/maryland/springdale/2027-Charles-Herbert-Flowers-High-School/</t>
        </is>
      </c>
      <c r="H67" s="22" t="n">
        <v>6</v>
      </c>
      <c r="I67" s="15" t="str"/>
      <c r="J67" s="23" t="n">
        <v>46264</v>
      </c>
      <c r="K67" s="15" t="inlineStr">
        <is>
          <t>Verificado</t>
        </is>
      </c>
      <c r="L67" s="20" t="inlineStr">
        <is>
          <t>Score general leído de la ficha de GreatSchools (dato gs_rating, coincide con el texto "GreatSchools rating of N out of 10").</t>
        </is>
      </c>
    </row>
    <row r="68" ht="42" customHeight="1">
      <c r="A68" s="21" t="n">
        <v>63</v>
      </c>
      <c r="B68" s="15" t="inlineStr">
        <is>
          <t>prince_georges_county_md:crossland_high_school</t>
        </is>
      </c>
      <c r="C68" s="15" t="inlineStr">
        <is>
          <t>Crossland High School</t>
        </is>
      </c>
      <c r="D68" s="15" t="inlineStr">
        <is>
          <t>Prince George's County, MD</t>
        </is>
      </c>
      <c r="E68" s="15" t="inlineStr">
        <is>
          <t>MD</t>
        </is>
      </c>
      <c r="F68" s="19" t="inlineStr">
        <is>
          <t>https://www.greatschools.org/search/search.page?search_type=0&amp;q=Crossland%20High%20School&amp;state=MD</t>
        </is>
      </c>
      <c r="G68" s="19" t="inlineStr">
        <is>
          <t>https://www.greatschools.org/maryland/temple-hills/1076-Crossland-High-School/</t>
        </is>
      </c>
      <c r="H68" s="22" t="n">
        <v>2</v>
      </c>
      <c r="I68" s="15" t="str"/>
      <c r="J68" s="23" t="n">
        <v>46264</v>
      </c>
      <c r="K68" s="15" t="inlineStr">
        <is>
          <t>Verificado</t>
        </is>
      </c>
      <c r="L68" s="20" t="inlineStr">
        <is>
          <t>Score general leído de la ficha de GreatSchools (dato gs_rating, coincide con el texto "GreatSchools rating of N out of 10").</t>
        </is>
      </c>
    </row>
    <row r="69" ht="42" customHeight="1">
      <c r="A69" s="21" t="n">
        <v>64</v>
      </c>
      <c r="B69" s="15" t="inlineStr">
        <is>
          <t>prince_georges_county_md:duval_high_school</t>
        </is>
      </c>
      <c r="C69" s="15" t="inlineStr">
        <is>
          <t>Duval High School</t>
        </is>
      </c>
      <c r="D69" s="15" t="inlineStr">
        <is>
          <t>Prince George's County, MD</t>
        </is>
      </c>
      <c r="E69" s="15" t="inlineStr">
        <is>
          <t>MD</t>
        </is>
      </c>
      <c r="F69" s="19" t="inlineStr">
        <is>
          <t>https://www.greatschools.org/search/search.page?search_type=0&amp;q=Duval%20High%20School&amp;state=MD</t>
        </is>
      </c>
      <c r="G69" s="19" t="inlineStr">
        <is>
          <t>https://www.greatschools.org/maryland/lanham/1081-Duval-High-School/</t>
        </is>
      </c>
      <c r="H69" s="22" t="n">
        <v>4</v>
      </c>
      <c r="I69" s="15" t="str"/>
      <c r="J69" s="23" t="n">
        <v>46264</v>
      </c>
      <c r="K69" s="15" t="inlineStr">
        <is>
          <t>Verificado</t>
        </is>
      </c>
      <c r="L69" s="20" t="inlineStr">
        <is>
          <t>Score general leído de la ficha de GreatSchools (dato gs_rating, coincide con el texto "GreatSchools rating of N out of 10").</t>
        </is>
      </c>
    </row>
    <row r="70" ht="42" customHeight="1">
      <c r="A70" s="21" t="n">
        <v>65</v>
      </c>
      <c r="B70" s="15" t="inlineStr">
        <is>
          <t>prince_georges_county_md:fairmont_heights_high_school</t>
        </is>
      </c>
      <c r="C70" s="15" t="inlineStr">
        <is>
          <t>Fairmont Heights High School</t>
        </is>
      </c>
      <c r="D70" s="15" t="inlineStr">
        <is>
          <t>Prince George's County, MD</t>
        </is>
      </c>
      <c r="E70" s="15" t="inlineStr">
        <is>
          <t>MD</t>
        </is>
      </c>
      <c r="F70" s="19" t="inlineStr">
        <is>
          <t>https://www.greatschools.org/search/search.page?search_type=0&amp;q=Fairmont%20Heights%20High%20School&amp;state=MD</t>
        </is>
      </c>
      <c r="G70" s="19" t="inlineStr">
        <is>
          <t>https://www.greatschools.org/maryland/capitol-heights/1086-Fairmont-Heights-High-School/</t>
        </is>
      </c>
      <c r="H70" s="22" t="n">
        <v>2</v>
      </c>
      <c r="I70" s="15" t="str"/>
      <c r="J70" s="23" t="n">
        <v>46264</v>
      </c>
      <c r="K70" s="15" t="inlineStr">
        <is>
          <t>Verificado</t>
        </is>
      </c>
      <c r="L70" s="20" t="inlineStr">
        <is>
          <t>Score general leído de la ficha de GreatSchools (dato gs_rating, coincide con el texto "GreatSchools rating of N out of 10").</t>
        </is>
      </c>
    </row>
    <row r="71" ht="42" customHeight="1">
      <c r="A71" s="21" t="n">
        <v>66</v>
      </c>
      <c r="B71" s="15" t="inlineStr">
        <is>
          <t>prince_georges_county_md:friendly_high_school</t>
        </is>
      </c>
      <c r="C71" s="15" t="inlineStr">
        <is>
          <t>Friendly High School</t>
        </is>
      </c>
      <c r="D71" s="15" t="inlineStr">
        <is>
          <t>Prince George's County, MD</t>
        </is>
      </c>
      <c r="E71" s="15" t="inlineStr">
        <is>
          <t>MD</t>
        </is>
      </c>
      <c r="F71" s="19" t="inlineStr">
        <is>
          <t>https://www.greatschools.org/search/search.page?search_type=0&amp;q=Friendly%20High%20School&amp;state=MD</t>
        </is>
      </c>
      <c r="G71" s="19" t="inlineStr">
        <is>
          <t>https://www.greatschools.org/maryland/fort-washington/1093-Friendly-High-School/</t>
        </is>
      </c>
      <c r="H71" s="22" t="n">
        <v>2</v>
      </c>
      <c r="I71" s="15" t="str"/>
      <c r="J71" s="23" t="n">
        <v>46264</v>
      </c>
      <c r="K71" s="15" t="inlineStr">
        <is>
          <t>Verificado</t>
        </is>
      </c>
      <c r="L71" s="20" t="inlineStr">
        <is>
          <t>Score general leído de la ficha de GreatSchools (dato gs_rating, coincide con el texto "GreatSchools rating of N out of 10").</t>
        </is>
      </c>
    </row>
    <row r="72" ht="42" customHeight="1">
      <c r="A72" s="21" t="n">
        <v>67</v>
      </c>
      <c r="B72" s="15" t="inlineStr">
        <is>
          <t>prince_georges_county_md:gwynn_park_high_school</t>
        </is>
      </c>
      <c r="C72" s="15" t="inlineStr">
        <is>
          <t>Gwynn Park High School</t>
        </is>
      </c>
      <c r="D72" s="15" t="inlineStr">
        <is>
          <t>Prince George's County, MD</t>
        </is>
      </c>
      <c r="E72" s="15" t="inlineStr">
        <is>
          <t>MD</t>
        </is>
      </c>
      <c r="F72" s="19" t="inlineStr">
        <is>
          <t>https://www.greatschools.org/search/search.page?search_type=0&amp;q=Gwynn%20Park%20High%20School&amp;state=MD</t>
        </is>
      </c>
      <c r="G72" s="19" t="inlineStr">
        <is>
          <t>https://www.greatschools.org/maryland/brandywine/1102-Gwynn-Park-High-School/</t>
        </is>
      </c>
      <c r="H72" s="22" t="n">
        <v>3</v>
      </c>
      <c r="I72" s="15" t="str"/>
      <c r="J72" s="23" t="n">
        <v>46264</v>
      </c>
      <c r="K72" s="15" t="inlineStr">
        <is>
          <t>Verificado</t>
        </is>
      </c>
      <c r="L72" s="20" t="inlineStr">
        <is>
          <t>Score general leído de la ficha de GreatSchools (dato gs_rating, coincide con el texto "GreatSchools rating of N out of 10").</t>
        </is>
      </c>
    </row>
    <row r="73" ht="42" customHeight="1">
      <c r="A73" s="21" t="n">
        <v>68</v>
      </c>
      <c r="B73" s="15" t="inlineStr">
        <is>
          <t>prince_georges_county_md:high_point_high_school</t>
        </is>
      </c>
      <c r="C73" s="15" t="inlineStr">
        <is>
          <t>High Point High School</t>
        </is>
      </c>
      <c r="D73" s="15" t="inlineStr">
        <is>
          <t>Prince George's County, MD</t>
        </is>
      </c>
      <c r="E73" s="15" t="inlineStr">
        <is>
          <t>MD</t>
        </is>
      </c>
      <c r="F73" s="19" t="inlineStr">
        <is>
          <t>https://www.greatschools.org/search/search.page?search_type=0&amp;q=High%20Point%20High%20School&amp;state=MD</t>
        </is>
      </c>
      <c r="G73" s="19" t="inlineStr">
        <is>
          <t>https://www.greatschools.org/maryland/beltsville/1109-High-Point-High-School/</t>
        </is>
      </c>
      <c r="H73" s="22" t="n">
        <v>2</v>
      </c>
      <c r="I73" s="15" t="str"/>
      <c r="J73" s="23" t="n">
        <v>46264</v>
      </c>
      <c r="K73" s="15" t="inlineStr">
        <is>
          <t>Verificado</t>
        </is>
      </c>
      <c r="L73" s="20" t="inlineStr">
        <is>
          <t>Score general leído de la ficha de GreatSchools (dato gs_rating, coincide con el texto "GreatSchools rating of N out of 10").</t>
        </is>
      </c>
    </row>
    <row r="74" ht="42" customHeight="1">
      <c r="A74" s="21" t="n">
        <v>69</v>
      </c>
      <c r="B74" s="15" t="inlineStr">
        <is>
          <t>prince_georges_county_md:laurel_high_school</t>
        </is>
      </c>
      <c r="C74" s="15" t="inlineStr">
        <is>
          <t>Laurel High School</t>
        </is>
      </c>
      <c r="D74" s="15" t="inlineStr">
        <is>
          <t>Prince George's County, MD</t>
        </is>
      </c>
      <c r="E74" s="15" t="inlineStr">
        <is>
          <t>MD</t>
        </is>
      </c>
      <c r="F74" s="19" t="inlineStr">
        <is>
          <t>https://www.greatschools.org/search/search.page?search_type=0&amp;q=Laurel%20High%20School&amp;state=MD</t>
        </is>
      </c>
      <c r="G74" s="19" t="inlineStr">
        <is>
          <t>https://www.greatschools.org/maryland/laurel/1132-Laurel-High-School/</t>
        </is>
      </c>
      <c r="H74" s="22" t="n">
        <v>3</v>
      </c>
      <c r="I74" s="15" t="str"/>
      <c r="J74" s="23" t="n">
        <v>46264</v>
      </c>
      <c r="K74" s="15" t="inlineStr">
        <is>
          <t>Verificado</t>
        </is>
      </c>
      <c r="L74" s="20" t="inlineStr">
        <is>
          <t>Score general leído de la ficha de GreatSchools (dato gs_rating, coincide con el texto "GreatSchools rating of N out of 10").</t>
        </is>
      </c>
    </row>
    <row r="75" ht="42" customHeight="1">
      <c r="A75" s="21" t="n">
        <v>70</v>
      </c>
      <c r="B75" s="15" t="inlineStr">
        <is>
          <t>prince_georges_county_md:oxon_hill_high_school</t>
        </is>
      </c>
      <c r="C75" s="15" t="inlineStr">
        <is>
          <t>Oxon Hill High School</t>
        </is>
      </c>
      <c r="D75" s="15" t="inlineStr">
        <is>
          <t>Prince George's County, MD</t>
        </is>
      </c>
      <c r="E75" s="15" t="inlineStr">
        <is>
          <t>MD</t>
        </is>
      </c>
      <c r="F75" s="19" t="inlineStr">
        <is>
          <t>https://www.greatschools.org/search/search.page?search_type=0&amp;q=Oxon%20Hill%20High%20School&amp;state=MD</t>
        </is>
      </c>
      <c r="G75" s="19" t="inlineStr">
        <is>
          <t>https://www.greatschools.org/maryland/oxon-hill/1155-Oxon-Hill-High-School/</t>
        </is>
      </c>
      <c r="H75" s="22" t="n">
        <v>5</v>
      </c>
      <c r="I75" s="15" t="str"/>
      <c r="J75" s="23" t="n">
        <v>46264</v>
      </c>
      <c r="K75" s="15" t="inlineStr">
        <is>
          <t>Verificado</t>
        </is>
      </c>
      <c r="L75" s="20" t="inlineStr">
        <is>
          <t>Score general leído de la ficha de GreatSchools (dato gs_rating, coincide con el texto "GreatSchools rating of N out of 10").</t>
        </is>
      </c>
    </row>
    <row r="76" ht="42" customHeight="1">
      <c r="A76" s="21" t="n">
        <v>71</v>
      </c>
      <c r="B76" s="15" t="inlineStr">
        <is>
          <t>prince_georges_county_md:parkdale_high_school</t>
        </is>
      </c>
      <c r="C76" s="15" t="inlineStr">
        <is>
          <t>Parkdale High School</t>
        </is>
      </c>
      <c r="D76" s="15" t="inlineStr">
        <is>
          <t>Prince George's County, MD</t>
        </is>
      </c>
      <c r="E76" s="15" t="inlineStr">
        <is>
          <t>MD</t>
        </is>
      </c>
      <c r="F76" s="19" t="inlineStr">
        <is>
          <t>https://www.greatschools.org/search/search.page?search_type=0&amp;q=Parkdale%20High%20School&amp;state=MD</t>
        </is>
      </c>
      <c r="G76" s="19" t="inlineStr">
        <is>
          <t>https://www.greatschools.org/maryland/riverdale-park/1158-Parkdale-High-School/</t>
        </is>
      </c>
      <c r="H76" s="22" t="n">
        <v>2</v>
      </c>
      <c r="I76" s="15" t="str"/>
      <c r="J76" s="23" t="n">
        <v>46264</v>
      </c>
      <c r="K76" s="15" t="inlineStr">
        <is>
          <t>Verificado</t>
        </is>
      </c>
      <c r="L76" s="20" t="inlineStr">
        <is>
          <t>Score general leído de la ficha de GreatSchools (dato gs_rating, coincide con el texto "GreatSchools rating of N out of 10").</t>
        </is>
      </c>
    </row>
    <row r="77" ht="42" customHeight="1">
      <c r="A77" s="21" t="n">
        <v>72</v>
      </c>
      <c r="B77" s="15" t="inlineStr">
        <is>
          <t>prince_georges_county_md:potomac_high_school</t>
        </is>
      </c>
      <c r="C77" s="15" t="inlineStr">
        <is>
          <t>Potomac High School</t>
        </is>
      </c>
      <c r="D77" s="15" t="inlineStr">
        <is>
          <t>Prince George's County, MD</t>
        </is>
      </c>
      <c r="E77" s="15" t="inlineStr">
        <is>
          <t>MD</t>
        </is>
      </c>
      <c r="F77" s="19" t="inlineStr">
        <is>
          <t>https://www.greatschools.org/search/search.page?search_type=0&amp;q=Potomac%20High%20School&amp;state=MD</t>
        </is>
      </c>
      <c r="G77" s="19" t="inlineStr">
        <is>
          <t>https://www.greatschools.org/maryland/oxon-hill/1163-Potomac-High-School/</t>
        </is>
      </c>
      <c r="H77" s="22" t="n">
        <v>2</v>
      </c>
      <c r="I77" s="15" t="str"/>
      <c r="J77" s="23" t="n">
        <v>46264</v>
      </c>
      <c r="K77" s="15" t="inlineStr">
        <is>
          <t>Verificado</t>
        </is>
      </c>
      <c r="L77" s="20" t="inlineStr">
        <is>
          <t>Score general leído de la ficha de GreatSchools (dato gs_rating, coincide con el texto "GreatSchools rating of N out of 10").</t>
        </is>
      </c>
    </row>
    <row r="78" ht="42" customHeight="1">
      <c r="A78" s="21" t="n">
        <v>73</v>
      </c>
      <c r="B78" s="15" t="inlineStr">
        <is>
          <t>prince_georges_county_md:suitland_high_school</t>
        </is>
      </c>
      <c r="C78" s="15" t="inlineStr">
        <is>
          <t>Suitland High School</t>
        </is>
      </c>
      <c r="D78" s="15" t="inlineStr">
        <is>
          <t>Prince George's County, MD</t>
        </is>
      </c>
      <c r="E78" s="15" t="inlineStr">
        <is>
          <t>MD</t>
        </is>
      </c>
      <c r="F78" s="19" t="inlineStr">
        <is>
          <t>https://www.greatschools.org/search/search.page?search_type=0&amp;q=Suitland%20High%20School&amp;state=MD</t>
        </is>
      </c>
      <c r="G78" s="19" t="inlineStr">
        <is>
          <t>https://www.greatschools.org/maryland/district-heights/1180-Suitland-High-School/</t>
        </is>
      </c>
      <c r="H78" s="22" t="n">
        <v>2</v>
      </c>
      <c r="I78" s="15" t="str"/>
      <c r="J78" s="23" t="n">
        <v>46264</v>
      </c>
      <c r="K78" s="15" t="inlineStr">
        <is>
          <t>Verificado</t>
        </is>
      </c>
      <c r="L78" s="20" t="inlineStr">
        <is>
          <t>Score general leído de la ficha de GreatSchools (dato gs_rating, coincide con el texto "GreatSchools rating of N out of 10").</t>
        </is>
      </c>
    </row>
    <row r="79" ht="42" customHeight="1">
      <c r="A79" s="21" t="n">
        <v>74</v>
      </c>
      <c r="B79" s="15" t="inlineStr">
        <is>
          <t>prince_georges_county_md:surrattsville_high_school</t>
        </is>
      </c>
      <c r="C79" s="15" t="inlineStr">
        <is>
          <t>Surrattsville High School</t>
        </is>
      </c>
      <c r="D79" s="15" t="inlineStr">
        <is>
          <t>Prince George's County, MD</t>
        </is>
      </c>
      <c r="E79" s="15" t="inlineStr">
        <is>
          <t>MD</t>
        </is>
      </c>
      <c r="F79" s="19" t="inlineStr">
        <is>
          <t>https://www.greatschools.org/search/search.page?search_type=0&amp;q=Surrattsville%20High%20School&amp;state=MD</t>
        </is>
      </c>
      <c r="G79" s="19" t="inlineStr">
        <is>
          <t>https://www.greatschools.org/maryland/clinton/1181-Surrattsville-High-School/</t>
        </is>
      </c>
      <c r="H79" s="22" t="n">
        <v>2</v>
      </c>
      <c r="I79" s="15" t="str"/>
      <c r="J79" s="23" t="n">
        <v>46264</v>
      </c>
      <c r="K79" s="15" t="inlineStr">
        <is>
          <t>Verificado</t>
        </is>
      </c>
      <c r="L79" s="20" t="inlineStr">
        <is>
          <t>Score general leído de la ficha de GreatSchools (dato gs_rating, coincide con el texto "GreatSchools rating of N out of 10").</t>
        </is>
      </c>
    </row>
    <row r="80" ht="42" customHeight="1">
      <c r="A80" s="21" t="n">
        <v>75</v>
      </c>
      <c r="B80" s="15" t="inlineStr">
        <is>
          <t>washington_dc:jackson_reed_high_school</t>
        </is>
      </c>
      <c r="C80" s="15" t="inlineStr">
        <is>
          <t>Jackson-Reed High School</t>
        </is>
      </c>
      <c r="D80" s="15" t="inlineStr">
        <is>
          <t>Washington, DC</t>
        </is>
      </c>
      <c r="E80" s="15" t="inlineStr">
        <is>
          <t>DC</t>
        </is>
      </c>
      <c r="F80" s="19" t="inlineStr">
        <is>
          <t>https://www.greatschools.org/search/search.page?search_type=0&amp;q=Jackson-Reed%20High%20School&amp;state=DC</t>
        </is>
      </c>
      <c r="G80" s="19" t="inlineStr">
        <is>
          <t>https://www.greatschools.org/washington-dc/washington/105-Wilson-High-School/</t>
        </is>
      </c>
      <c r="H80" s="22" t="n">
        <v>7</v>
      </c>
      <c r="I80" s="15" t="str"/>
      <c r="J80" s="23" t="n">
        <v>46264</v>
      </c>
      <c r="K80" s="15" t="inlineStr">
        <is>
          <t>Verificado</t>
        </is>
      </c>
      <c r="L80" s="20" t="inlineStr">
        <is>
          <t>Ficha publicada bajo la URL histórica Wilson HS. Score general leído de la ficha de GreatSchools (dato gs_rating, coincide con el texto "GreatSchools rating of N out of 10").</t>
        </is>
      </c>
    </row>
    <row r="81" ht="42" customHeight="1">
      <c r="A81" s="21" t="n">
        <v>76</v>
      </c>
      <c r="B81" s="15" t="inlineStr">
        <is>
          <t>washington_dc:h_d_woodson_high_school</t>
        </is>
      </c>
      <c r="C81" s="15" t="inlineStr">
        <is>
          <t>H.D. Woodson High School</t>
        </is>
      </c>
      <c r="D81" s="15" t="inlineStr">
        <is>
          <t>Washington, DC</t>
        </is>
      </c>
      <c r="E81" s="15" t="inlineStr">
        <is>
          <t>DC</t>
        </is>
      </c>
      <c r="F81" s="19" t="inlineStr">
        <is>
          <t>https://www.greatschools.org/search/search.page?search_type=0&amp;q=H.D.%20Woodson%20High%20School&amp;state=DC</t>
        </is>
      </c>
      <c r="G81" s="19" t="inlineStr">
        <is>
          <t>https://www.greatschools.org/washington-dc/washington/43-H.D.-Woodson-High-School/</t>
        </is>
      </c>
      <c r="H81" s="22" t="n">
        <v>4</v>
      </c>
      <c r="I81" s="15" t="str"/>
      <c r="J81" s="23" t="n">
        <v>46264</v>
      </c>
      <c r="K81" s="15" t="inlineStr">
        <is>
          <t>Verificado</t>
        </is>
      </c>
      <c r="L81" s="20" t="inlineStr">
        <is>
          <t>Score general leído de la ficha de GreatSchools (dato gs_rating, coincide con el texto "GreatSchools rating of N out of 10").</t>
        </is>
      </c>
    </row>
    <row r="82" ht="42" customHeight="1">
      <c r="A82" s="21" t="n">
        <v>77</v>
      </c>
      <c r="B82" s="15" t="inlineStr">
        <is>
          <t>washington_dc:coolidge_high_school</t>
        </is>
      </c>
      <c r="C82" s="15" t="inlineStr">
        <is>
          <t>Coolidge High School</t>
        </is>
      </c>
      <c r="D82" s="15" t="inlineStr">
        <is>
          <t>Washington, DC</t>
        </is>
      </c>
      <c r="E82" s="15" t="inlineStr">
        <is>
          <t>DC</t>
        </is>
      </c>
      <c r="F82" s="19" t="inlineStr">
        <is>
          <t>https://www.greatschools.org/search/search.page?search_type=0&amp;q=Coolidge%20High%20School&amp;state=DC</t>
        </is>
      </c>
      <c r="G82" s="19" t="inlineStr">
        <is>
          <t>https://www.greatschools.org/washington-dc/washington/63-Coolidge-High-School/</t>
        </is>
      </c>
      <c r="H82" s="22" t="n">
        <v>5</v>
      </c>
      <c r="I82" s="15" t="str"/>
      <c r="J82" s="23" t="n">
        <v>46264</v>
      </c>
      <c r="K82" s="15" t="inlineStr">
        <is>
          <t>Verificado</t>
        </is>
      </c>
      <c r="L82" s="20" t="inlineStr">
        <is>
          <t>Score general leído de la ficha de GreatSchools (dato gs_rating, coincide con el texto "GreatSchools rating of N out of 10").</t>
        </is>
      </c>
    </row>
    <row r="83" ht="42" customHeight="1">
      <c r="A83" s="21" t="n">
        <v>78</v>
      </c>
      <c r="B83" s="15" t="inlineStr">
        <is>
          <t>washington_dc:roosevelt_high_school</t>
        </is>
      </c>
      <c r="C83" s="15" t="inlineStr">
        <is>
          <t>Roosevelt High School</t>
        </is>
      </c>
      <c r="D83" s="15" t="inlineStr">
        <is>
          <t>Washington, DC</t>
        </is>
      </c>
      <c r="E83" s="15" t="inlineStr">
        <is>
          <t>DC</t>
        </is>
      </c>
      <c r="F83" s="19" t="inlineStr">
        <is>
          <t>https://www.greatschools.org/search/search.page?search_type=0&amp;q=Roosevelt%20High%20School&amp;state=DC</t>
        </is>
      </c>
      <c r="G83" s="19" t="inlineStr">
        <is>
          <t>https://www.greatschools.org/washington-dc/washington/8-Roosevelt-High-School--MacFarland/</t>
        </is>
      </c>
      <c r="H83" s="22" t="n">
        <v>4</v>
      </c>
      <c r="I83" s="15" t="str"/>
      <c r="J83" s="23" t="n">
        <v>46264</v>
      </c>
      <c r="K83" s="15" t="inlineStr">
        <is>
          <t>Verificado</t>
        </is>
      </c>
      <c r="L83" s="20" t="inlineStr">
        <is>
          <t>GreatSchools la lista como "Roosevelt High School @ MacFarland". Score general leído de la ficha de GreatSchools (dato gs_rating, coincide con el texto "GreatSchools rating of N out of 10").</t>
        </is>
      </c>
    </row>
    <row r="84" ht="42" customHeight="1">
      <c r="A84" s="21" t="n">
        <v>79</v>
      </c>
      <c r="B84" s="15" t="inlineStr">
        <is>
          <t>washington_dc:dunbar_high_school</t>
        </is>
      </c>
      <c r="C84" s="15" t="inlineStr">
        <is>
          <t>Dunbar High School</t>
        </is>
      </c>
      <c r="D84" s="15" t="inlineStr">
        <is>
          <t>Washington, DC</t>
        </is>
      </c>
      <c r="E84" s="15" t="inlineStr">
        <is>
          <t>DC</t>
        </is>
      </c>
      <c r="F84" s="19" t="inlineStr">
        <is>
          <t>https://www.greatschools.org/search/search.page?search_type=0&amp;q=Dunbar%20High%20School&amp;state=DC</t>
        </is>
      </c>
      <c r="G84" s="19" t="inlineStr">
        <is>
          <t>https://www.greatschools.org/washington-dc/washington/62-Dunbar-High-School/</t>
        </is>
      </c>
      <c r="H84" s="22" t="n">
        <v>3</v>
      </c>
      <c r="I84" s="15" t="str"/>
      <c r="J84" s="23" t="n">
        <v>46264</v>
      </c>
      <c r="K84" s="15" t="inlineStr">
        <is>
          <t>Verificado</t>
        </is>
      </c>
      <c r="L84" s="20" t="inlineStr">
        <is>
          <t>Score general leído de la ficha de GreatSchools (dato gs_rating, coincide con el texto "GreatSchools rating of N out of 10").</t>
        </is>
      </c>
    </row>
    <row r="85" ht="42" customHeight="1">
      <c r="A85" s="21" t="n">
        <v>80</v>
      </c>
      <c r="B85" s="15" t="inlineStr">
        <is>
          <t>washington_dc:eastern_high_school</t>
        </is>
      </c>
      <c r="C85" s="15" t="inlineStr">
        <is>
          <t>Eastern High School</t>
        </is>
      </c>
      <c r="D85" s="15" t="inlineStr">
        <is>
          <t>Washington, DC</t>
        </is>
      </c>
      <c r="E85" s="15" t="inlineStr">
        <is>
          <t>DC</t>
        </is>
      </c>
      <c r="F85" s="19" t="inlineStr">
        <is>
          <t>https://www.greatschools.org/search/search.page?search_type=0&amp;q=Eastern%20High%20School&amp;state=DC</t>
        </is>
      </c>
      <c r="G85" s="19" t="inlineStr">
        <is>
          <t>https://www.greatschools.org/washington-dc/washington/61-Eastern-High-School/</t>
        </is>
      </c>
      <c r="H85" s="22" t="n">
        <v>3</v>
      </c>
      <c r="I85" s="15" t="str"/>
      <c r="J85" s="23" t="n">
        <v>46264</v>
      </c>
      <c r="K85" s="15" t="inlineStr">
        <is>
          <t>Verificado</t>
        </is>
      </c>
      <c r="L85" s="20" t="inlineStr">
        <is>
          <t>Score general leído de la ficha de GreatSchools (dato gs_rating, coincide con el texto "GreatSchools rating of N out of 10").</t>
        </is>
      </c>
    </row>
    <row r="86" ht="42" customHeight="1">
      <c r="A86" s="21" t="n">
        <v>81</v>
      </c>
      <c r="B86" s="15" t="inlineStr">
        <is>
          <t>washington_dc:cardozo_education_campus</t>
        </is>
      </c>
      <c r="C86" s="15" t="inlineStr">
        <is>
          <t>Cardozo Education Campus</t>
        </is>
      </c>
      <c r="D86" s="15" t="inlineStr">
        <is>
          <t>Washington, DC</t>
        </is>
      </c>
      <c r="E86" s="15" t="inlineStr">
        <is>
          <t>DC</t>
        </is>
      </c>
      <c r="F86" s="19" t="inlineStr">
        <is>
          <t>https://www.greatschools.org/search/search.page?search_type=0&amp;q=Cardozo%20Education%20Campus&amp;state=DC</t>
        </is>
      </c>
      <c r="G86" s="19" t="inlineStr">
        <is>
          <t>https://www.greatschools.org/washington-dc/washington/64-Cardozo-Education-Campus/</t>
        </is>
      </c>
      <c r="H86" s="22" t="n">
        <v>3</v>
      </c>
      <c r="I86" s="15" t="str"/>
      <c r="J86" s="23" t="n">
        <v>46264</v>
      </c>
      <c r="K86" s="15" t="inlineStr">
        <is>
          <t>Verificado</t>
        </is>
      </c>
      <c r="L86" s="20" t="inlineStr">
        <is>
          <t>Score general leído de la ficha de GreatSchools (dato gs_rating, coincide con el texto "GreatSchools rating of N out of 10").</t>
        </is>
      </c>
    </row>
    <row r="87" ht="42" customHeight="1">
      <c r="A87" s="21" t="n">
        <v>82</v>
      </c>
      <c r="B87" s="15" t="inlineStr">
        <is>
          <t>washington_dc:ballou_high_school</t>
        </is>
      </c>
      <c r="C87" s="15" t="inlineStr">
        <is>
          <t>Ballou High School</t>
        </is>
      </c>
      <c r="D87" s="15" t="inlineStr">
        <is>
          <t>Washington, DC</t>
        </is>
      </c>
      <c r="E87" s="15" t="inlineStr">
        <is>
          <t>DC</t>
        </is>
      </c>
      <c r="F87" s="19" t="inlineStr">
        <is>
          <t>https://www.greatschools.org/search/search.page?search_type=0&amp;q=Ballou%20High%20School&amp;state=DC</t>
        </is>
      </c>
      <c r="G87" s="19" t="inlineStr">
        <is>
          <t>https://www.greatschools.org/washington-dc/washington/65-Ballou-High-School/</t>
        </is>
      </c>
      <c r="H87" s="22" t="n">
        <v>3</v>
      </c>
      <c r="I87" s="15" t="str"/>
      <c r="J87" s="23" t="n">
        <v>46264</v>
      </c>
      <c r="K87" s="15" t="inlineStr">
        <is>
          <t>Verificado</t>
        </is>
      </c>
      <c r="L87" s="20" t="inlineStr">
        <is>
          <t>Score general leído de la ficha de GreatSchools (dato gs_rating, coincide con el texto "GreatSchools rating of N out of 10").</t>
        </is>
      </c>
    </row>
    <row r="88" ht="42" customHeight="1">
      <c r="A88" s="21" t="n">
        <v>83</v>
      </c>
      <c r="B88" s="15" t="inlineStr">
        <is>
          <t>washington_dc:anacostia_high_school</t>
        </is>
      </c>
      <c r="C88" s="15" t="inlineStr">
        <is>
          <t>Anacostia High School</t>
        </is>
      </c>
      <c r="D88" s="15" t="inlineStr">
        <is>
          <t>Washington, DC</t>
        </is>
      </c>
      <c r="E88" s="15" t="inlineStr">
        <is>
          <t>DC</t>
        </is>
      </c>
      <c r="F88" s="19" t="inlineStr">
        <is>
          <t>https://www.greatschools.org/search/search.page?search_type=0&amp;q=Anacostia%20High%20School&amp;state=DC</t>
        </is>
      </c>
      <c r="G88" s="19" t="inlineStr">
        <is>
          <t>https://www.greatschools.org/washington-dc/washington/66-Anacostia-High-School/</t>
        </is>
      </c>
      <c r="H88" s="22" t="n">
        <v>3</v>
      </c>
      <c r="I88" s="15" t="str"/>
      <c r="J88" s="23" t="n">
        <v>46264</v>
      </c>
      <c r="K88" s="15" t="inlineStr">
        <is>
          <t>Verificado</t>
        </is>
      </c>
      <c r="L88" s="20" t="inlineStr">
        <is>
          <t>Score general leído de la ficha de GreatSchools (dato gs_rating, coincide con el texto "GreatSchools rating of N out of 10").</t>
        </is>
      </c>
    </row>
    <row r="89" ht="42" customHeight="1">
      <c r="A89" s="21" t="n">
        <v>84</v>
      </c>
      <c r="B89" s="15" t="inlineStr">
        <is>
          <t>washington_dc:macarthur_high_school</t>
        </is>
      </c>
      <c r="C89" s="15" t="inlineStr">
        <is>
          <t>MacArthur High School</t>
        </is>
      </c>
      <c r="D89" s="15" t="inlineStr">
        <is>
          <t>Washington, DC</t>
        </is>
      </c>
      <c r="E89" s="15" t="inlineStr">
        <is>
          <t>DC</t>
        </is>
      </c>
      <c r="F89" s="19" t="inlineStr">
        <is>
          <t>https://www.greatschools.org/search/search.page?search_type=0&amp;q=MacArthur%20High%20School&amp;state=DC</t>
        </is>
      </c>
      <c r="G89" s="19" t="inlineStr">
        <is>
          <t>https://www.greatschools.org/washington-dc/washington/1303-Macarthur-High-School/</t>
        </is>
      </c>
      <c r="H89" s="22" t="n">
        <v>5</v>
      </c>
      <c r="I89" s="15" t="str"/>
      <c r="J89" s="23" t="n">
        <v>46264</v>
      </c>
      <c r="K89" s="15" t="inlineStr">
        <is>
          <t>Verificado</t>
        </is>
      </c>
      <c r="L89" s="20" t="inlineStr">
        <is>
          <t>Score general leído de la ficha de GreatSchools (dato gs_rating, coincide con el texto "GreatSchools rating of N out of 10").</t>
        </is>
      </c>
    </row>
  </sheetData>
  <mergeCells count="2">
    <mergeCell ref="A3:L3"/>
    <mergeCell ref="A1:L1"/>
  </mergeCells>
  <conditionalFormatting sqref="H6:H89">
    <cfRule type="cellIs" priority="1" operator="between" dxfId="0">
      <formula>9</formula>
      <formula>10</formula>
    </cfRule>
    <cfRule type="cellIs" priority="2" operator="between" dxfId="1">
      <formula>7</formula>
      <formula>8</formula>
    </cfRule>
    <cfRule type="cellIs" priority="3" operator="between" dxfId="2">
      <formula>5</formula>
      <formula>6</formula>
    </cfRule>
    <cfRule type="cellIs" priority="4" operator="between" dxfId="3">
      <formula>3</formula>
      <formula>4</formula>
    </cfRule>
    <cfRule type="cellIs" priority="5" operator="between" dxfId="4">
      <formula>1</formula>
      <formula>2</formula>
    </cfRule>
  </conditionalFormatting>
  <dataValidations count="2">
    <dataValidation sqref="H6:H89" showDropDown="0" showInputMessage="0" showErrorMessage="0" allowBlank="0" type="whole" operator="between">
      <formula1>1</formula1>
      <formula2>10</formula2>
    </dataValidation>
    <dataValidation sqref="K6:K89" showDropDown="0" showInputMessage="0" showErrorMessage="0" allowBlank="0" type="list">
      <formula1>"Pendiente,Verificado,Sin score,No encontrado"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2026-08-30T18:57:13Z</dcterms:created>
  <dcterms:modified xmlns:dcterms="http://purl.org/dc/terms/" xmlns:xsi="http://www.w3.org/2001/XMLSchema-instance" xsi:type="dcterms:W3CDTF">2026-08-30T18:57:13Z</dcterms:modified>
</cp:coreProperties>
</file>